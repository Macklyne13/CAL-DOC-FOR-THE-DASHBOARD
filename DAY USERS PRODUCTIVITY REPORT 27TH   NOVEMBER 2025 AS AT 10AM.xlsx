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 P40\Downloads\"/>
    </mc:Choice>
  </mc:AlternateContent>
  <bookViews>
    <workbookView xWindow="0" yWindow="0" windowWidth="9140" windowHeight="9890" tabRatio="643"/>
  </bookViews>
  <sheets>
    <sheet name="DAY PRODUCTIVITY" sheetId="1" r:id="rId1"/>
    <sheet name="ZERO PTPs" sheetId="2" r:id="rId2"/>
  </sheets>
  <definedNames>
    <definedName name="_xlnm._FilterDatabase" localSheetId="0" hidden="1">'DAY PRODUCTIVITY'!$A$2:$AB$2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4" i="1" l="1"/>
  <c r="T34" i="1"/>
  <c r="S34" i="1"/>
  <c r="R34" i="1"/>
  <c r="U33" i="1"/>
  <c r="T33" i="1"/>
  <c r="S33" i="1"/>
  <c r="R33" i="1"/>
  <c r="U32" i="1"/>
  <c r="T32" i="1"/>
  <c r="S32" i="1"/>
  <c r="R32" i="1"/>
  <c r="Y25" i="1"/>
  <c r="X25" i="1"/>
  <c r="W25" i="1"/>
  <c r="V25" i="1"/>
  <c r="U25" i="1"/>
  <c r="T25" i="1"/>
  <c r="S25" i="1"/>
  <c r="Y24" i="1"/>
  <c r="X24" i="1"/>
  <c r="W24" i="1"/>
  <c r="V24" i="1"/>
  <c r="U24" i="1"/>
  <c r="T24" i="1"/>
  <c r="T24" i="1" a="1"/>
  <c r="Y23" i="1"/>
  <c r="X23" i="1"/>
  <c r="W23" i="1"/>
  <c r="V23" i="1"/>
  <c r="U23" i="1"/>
  <c r="T23" i="1"/>
  <c r="T23" i="1" a="1"/>
  <c r="Y22" i="1"/>
  <c r="X22" i="1"/>
  <c r="W22" i="1"/>
  <c r="V22" i="1"/>
  <c r="U22" i="1"/>
  <c r="T22" i="1"/>
  <c r="T22" i="1" a="1"/>
  <c r="Y21" i="1"/>
  <c r="X21" i="1"/>
  <c r="W21" i="1"/>
  <c r="V21" i="1"/>
  <c r="U21" i="1"/>
  <c r="T21" i="1"/>
  <c r="T21" i="1" a="1"/>
  <c r="Y20" i="1"/>
  <c r="X20" i="1"/>
  <c r="W20" i="1"/>
  <c r="V20" i="1"/>
  <c r="U20" i="1"/>
  <c r="T20" i="1"/>
  <c r="T20" i="1" a="1"/>
  <c r="Y19" i="1"/>
  <c r="X19" i="1"/>
  <c r="W19" i="1"/>
  <c r="V19" i="1"/>
  <c r="U19" i="1"/>
  <c r="T19" i="1"/>
  <c r="Y18" i="1"/>
  <c r="X18" i="1"/>
  <c r="W18" i="1"/>
  <c r="V18" i="1"/>
  <c r="U18" i="1"/>
  <c r="T18" i="1"/>
  <c r="T18" i="1" a="1"/>
  <c r="W10" i="1"/>
  <c r="V10" i="1"/>
  <c r="U10" i="1"/>
  <c r="T10" i="1"/>
  <c r="S10" i="1"/>
  <c r="W9" i="1"/>
  <c r="V9" i="1"/>
  <c r="U9" i="1"/>
  <c r="T9" i="1"/>
  <c r="S9" i="1"/>
  <c r="W8" i="1"/>
  <c r="V8" i="1"/>
  <c r="U8" i="1"/>
  <c r="T8" i="1"/>
  <c r="S8" i="1"/>
  <c r="W7" i="1"/>
  <c r="V7" i="1"/>
  <c r="U7" i="1"/>
  <c r="T7" i="1"/>
  <c r="S7" i="1"/>
  <c r="W6" i="1"/>
  <c r="V6" i="1"/>
  <c r="U6" i="1"/>
  <c r="T6" i="1"/>
  <c r="S6" i="1"/>
</calcChain>
</file>

<file path=xl/sharedStrings.xml><?xml version="1.0" encoding="utf-8"?>
<sst xmlns="http://schemas.openxmlformats.org/spreadsheetml/2006/main" count="759" uniqueCount="271">
  <si>
    <t xml:space="preserve">                               PRODUCTIVITY REP0RT OCT 2025</t>
  </si>
  <si>
    <t>USER</t>
  </si>
  <si>
    <t>ACM ID</t>
  </si>
  <si>
    <t>Books Allocated</t>
  </si>
  <si>
    <t>team_name</t>
  </si>
  <si>
    <t>branch_name</t>
  </si>
  <si>
    <t>DATE CREATED</t>
  </si>
  <si>
    <t>SHIFT</t>
  </si>
  <si>
    <t>STATUS</t>
  </si>
  <si>
    <t>LOGIN TIME</t>
  </si>
  <si>
    <t>1ST UPDATE TIME</t>
  </si>
  <si>
    <t>LAST UPDATE TIME</t>
  </si>
  <si>
    <t>TEAM MUTHONI</t>
  </si>
  <si>
    <t>KISUMU BRANCH</t>
  </si>
  <si>
    <t>BRANCH SUMMARY</t>
  </si>
  <si>
    <t>BRANCH</t>
  </si>
  <si>
    <t>ACMS ACTIVE</t>
  </si>
  <si>
    <t>TEAM MUEMA</t>
  </si>
  <si>
    <t>NAKURU BRANCH</t>
  </si>
  <si>
    <t>TEAM MUGAMBI</t>
  </si>
  <si>
    <t>CAL HQ</t>
  </si>
  <si>
    <t>MERU BRANCH</t>
  </si>
  <si>
    <t>T0TAL</t>
  </si>
  <si>
    <t>TEAM REHEMA</t>
  </si>
  <si>
    <t>TEAM SUMMARY</t>
  </si>
  <si>
    <t>TEAM LEADER</t>
  </si>
  <si>
    <t>T0TAL ACMS</t>
  </si>
  <si>
    <t>INACTIVE ACMS</t>
  </si>
  <si>
    <t>M0NTH PTP TARGET (CNV 25%)</t>
  </si>
  <si>
    <t>M0NTH PTP ACTUAL</t>
  </si>
  <si>
    <t>TEAM SANTANA</t>
  </si>
  <si>
    <t>TEAM MUNYOKI</t>
  </si>
  <si>
    <t>TEAM MUGEDI</t>
  </si>
  <si>
    <t>PTP% ACHIEVED</t>
  </si>
  <si>
    <t>PTP DEFICIT (VOLUME)</t>
  </si>
  <si>
    <t>PTPs CREATED (VOLUME)</t>
  </si>
  <si>
    <t>ACTIVE ACMS</t>
  </si>
  <si>
    <t>PTP CREATED (VALUE)</t>
  </si>
  <si>
    <t>PTPs CREATED (VALUE)</t>
  </si>
  <si>
    <t xml:space="preserve"> PTP TARGET (VOLUME)</t>
  </si>
  <si>
    <t xml:space="preserve"> PTP Target (VALUE)</t>
  </si>
  <si>
    <t xml:space="preserve"> PTP Target      (VALUE)</t>
  </si>
  <si>
    <t>TOP PERFORMERS</t>
  </si>
  <si>
    <t>NAME</t>
  </si>
  <si>
    <t>TEAM</t>
  </si>
  <si>
    <t>Joshua Ossome</t>
  </si>
  <si>
    <t>DINERO CAPITAL/EQUITY CONVENTIONAL/HYNFRA TECHNOLOGIES/KISUMU SPECIALIST HOSPITAL</t>
  </si>
  <si>
    <t>DAY</t>
  </si>
  <si>
    <t>CONVENTIONAL</t>
  </si>
  <si>
    <t>08:19</t>
  </si>
  <si>
    <t>08:40</t>
  </si>
  <si>
    <t>10:04</t>
  </si>
  <si>
    <t>SUSAN ODHIAMBO</t>
  </si>
  <si>
    <t>KCB DIGITAL/KENTOURS SACCO/KENYA ALLIANCE/POTENTIAL/ZENKA</t>
  </si>
  <si>
    <t>FINTECH</t>
  </si>
  <si>
    <t>08:24</t>
  </si>
  <si>
    <t>08:27</t>
  </si>
  <si>
    <t>STEPHEN ODHIAMBO</t>
  </si>
  <si>
    <t>MSHWARI COHORT/MSHWARI GSA/XSOLAR/ZENKA</t>
  </si>
  <si>
    <t>07:50</t>
  </si>
  <si>
    <t>07:55</t>
  </si>
  <si>
    <t>10:00</t>
  </si>
  <si>
    <t>CHRISTOPHER OMONDI</t>
  </si>
  <si>
    <t>TIMIZA/ZENKA/MSHWARI POTENTIAL</t>
  </si>
  <si>
    <t>Fintech</t>
  </si>
  <si>
    <t>07:26</t>
  </si>
  <si>
    <t>07:37</t>
  </si>
  <si>
    <t>WAMBUI MARGARET</t>
  </si>
  <si>
    <t>EQUITY DIGITAL</t>
  </si>
  <si>
    <t>07:56</t>
  </si>
  <si>
    <t>07:57</t>
  </si>
  <si>
    <t>10:06</t>
  </si>
  <si>
    <t>MARTHA AKINYI</t>
  </si>
  <si>
    <t>BAU/ZENKA/POTENTIAL</t>
  </si>
  <si>
    <t>07:45</t>
  </si>
  <si>
    <t>08:26</t>
  </si>
  <si>
    <t>JULIANA ORWA</t>
  </si>
  <si>
    <t>HYBRID</t>
  </si>
  <si>
    <t>08:00</t>
  </si>
  <si>
    <t>08:21</t>
  </si>
  <si>
    <t>Dickens Omollo</t>
  </si>
  <si>
    <t>BAU/MSHWARI ALTERNATIVE</t>
  </si>
  <si>
    <t>07:49</t>
  </si>
  <si>
    <t>08:03</t>
  </si>
  <si>
    <t>10:03</t>
  </si>
  <si>
    <t>LYDIAH ACHIENG</t>
  </si>
  <si>
    <t>POTENTIAL/ZENKA</t>
  </si>
  <si>
    <t>07:54</t>
  </si>
  <si>
    <t>08:22</t>
  </si>
  <si>
    <t>BRAVLINE OGUTU</t>
  </si>
  <si>
    <t>TIMIZA/ZENKA/MSHWARI GSA/MSHWARI COHORT/BAU</t>
  </si>
  <si>
    <t>08:16</t>
  </si>
  <si>
    <t>08:29</t>
  </si>
  <si>
    <t>AMON MWANGI</t>
  </si>
  <si>
    <t>TIMIZA/ZENKA</t>
  </si>
  <si>
    <t>08:42</t>
  </si>
  <si>
    <t>RODGERS OCHIENG</t>
  </si>
  <si>
    <t>TIMIZA/PEZESHA/ZENKA/MSHWARI COHORT/GSA/BAU/MSHWARI ALTERNATIVE</t>
  </si>
  <si>
    <t>MARGARET MUCHOKI</t>
  </si>
  <si>
    <t>ASANTE FINANCE/LOCKBX/TIMIZA</t>
  </si>
  <si>
    <t>ELIZABETH OKOTH</t>
  </si>
  <si>
    <t>MSHWARI COHORT/MSHWARI GSA/ZENKA</t>
  </si>
  <si>
    <t>10:05</t>
  </si>
  <si>
    <t>Zeldah Kwamboka</t>
  </si>
  <si>
    <t>TIMIZA</t>
  </si>
  <si>
    <t>07:48</t>
  </si>
  <si>
    <t>08:09</t>
  </si>
  <si>
    <t>WAIRIMU JANE</t>
  </si>
  <si>
    <t>KCB DIGITAL/KENTOURS SACCO/POTENTIAL/ZENKA</t>
  </si>
  <si>
    <t>08:30</t>
  </si>
  <si>
    <t>09:53</t>
  </si>
  <si>
    <t>HARRIET NYANCHAMA</t>
  </si>
  <si>
    <t>KCB DIGITAL</t>
  </si>
  <si>
    <t>08:38</t>
  </si>
  <si>
    <t>MATEX WANJIRU</t>
  </si>
  <si>
    <t>BAU/TIMIZAL/ZENKA</t>
  </si>
  <si>
    <t>08:18</t>
  </si>
  <si>
    <t>08:23</t>
  </si>
  <si>
    <t>09:59</t>
  </si>
  <si>
    <t>DORICE OTIENO</t>
  </si>
  <si>
    <t>NCBA DIGITAL</t>
  </si>
  <si>
    <t>08:37</t>
  </si>
  <si>
    <t>LANOLINE OGOLA</t>
  </si>
  <si>
    <t>KCB CONVENTIONAL/RIARA</t>
  </si>
  <si>
    <t>Hybrid</t>
  </si>
  <si>
    <t>08:15</t>
  </si>
  <si>
    <t>08:32</t>
  </si>
  <si>
    <t>10:01</t>
  </si>
  <si>
    <t>KENNEDY MWANGI</t>
  </si>
  <si>
    <t>MSHWARI POTENTIAL/ZENKA</t>
  </si>
  <si>
    <t>07:46</t>
  </si>
  <si>
    <t>07:47</t>
  </si>
  <si>
    <t>JOSEPH MWAURA</t>
  </si>
  <si>
    <t>POTENTIAL/ZENKA/TIMIZA/SME LOAN/MSHWARI LLR</t>
  </si>
  <si>
    <t>07:59</t>
  </si>
  <si>
    <t>08:04</t>
  </si>
  <si>
    <t>VERONICAH ACHIENG</t>
  </si>
  <si>
    <t>MSHWARI POTENTIAL</t>
  </si>
  <si>
    <t>08:02</t>
  </si>
  <si>
    <t>MARGARET MWAWANA</t>
  </si>
  <si>
    <t>08:11</t>
  </si>
  <si>
    <t>ELIZABETH ONDIEKI</t>
  </si>
  <si>
    <t>09:56</t>
  </si>
  <si>
    <t>ADILITE KATONO</t>
  </si>
  <si>
    <t>BAU/ZENKA</t>
  </si>
  <si>
    <t>08:14</t>
  </si>
  <si>
    <t>COLLINS OTIENO</t>
  </si>
  <si>
    <t>LIPA LATER</t>
  </si>
  <si>
    <t>08:07</t>
  </si>
  <si>
    <t>10:02</t>
  </si>
  <si>
    <t>VALARY AGAK</t>
  </si>
  <si>
    <t>CO-OPERATIVE BANK SACCO/MSHWARI COHORT/MSHWARI GSA/ZENKA</t>
  </si>
  <si>
    <t>08:34</t>
  </si>
  <si>
    <t>ANDREW TINDI</t>
  </si>
  <si>
    <t>08:33</t>
  </si>
  <si>
    <t>09:57</t>
  </si>
  <si>
    <t>OSCAR MANDU</t>
  </si>
  <si>
    <t>Fidelis Wambui</t>
  </si>
  <si>
    <t>EQUITY DIGITAL/KENYA ALLIANCE</t>
  </si>
  <si>
    <t>07:58</t>
  </si>
  <si>
    <t>NICHOLAS OTIENO</t>
  </si>
  <si>
    <t>BAU/ZENKA/LIPA LATER</t>
  </si>
  <si>
    <t>kelvin koech</t>
  </si>
  <si>
    <t>08:08</t>
  </si>
  <si>
    <t>08:28</t>
  </si>
  <si>
    <t>DAN SIMIYU</t>
  </si>
  <si>
    <t>STANBIC BANK</t>
  </si>
  <si>
    <t>07:51</t>
  </si>
  <si>
    <t>PHILLIMON NYONGESA</t>
  </si>
  <si>
    <t>MSHWARI POTENTIAL/ZENKA/TIMIZA</t>
  </si>
  <si>
    <t>JOSEPH OMAR</t>
  </si>
  <si>
    <t>ZENKA/POTENTIAL</t>
  </si>
  <si>
    <t>VICTOR ODWAR</t>
  </si>
  <si>
    <t>TIMIZA/MSHWARI GSA/BAU/MSHWARI COHORT/ZENKA</t>
  </si>
  <si>
    <t>08:25</t>
  </si>
  <si>
    <t>PURITY CHEGE</t>
  </si>
  <si>
    <t>ASPIRA HIRE PURCHASE/KENYA ALLIANCE/LOCKBX/MSHWARI COHORT/ZENKA</t>
  </si>
  <si>
    <t>08:12</t>
  </si>
  <si>
    <t>LAVENTAR NEKESA</t>
  </si>
  <si>
    <t>HELLEN WAMBUI</t>
  </si>
  <si>
    <t>ZENKA/BAU/TIMIZA</t>
  </si>
  <si>
    <t>08:17</t>
  </si>
  <si>
    <t>JOSEPHAT ABIGAH</t>
  </si>
  <si>
    <t>08:36</t>
  </si>
  <si>
    <t>09:45</t>
  </si>
  <si>
    <t>MONICAH KANINI</t>
  </si>
  <si>
    <t>NCBA DIGITAL/POTENTIAL</t>
  </si>
  <si>
    <t>08:46</t>
  </si>
  <si>
    <t>RUTH NJAMBI</t>
  </si>
  <si>
    <t>ABSA CONVENTIONAL</t>
  </si>
  <si>
    <t>09:17</t>
  </si>
  <si>
    <t>09:28</t>
  </si>
  <si>
    <t>JOYCE ATIENO</t>
  </si>
  <si>
    <t>KENTOURS SACCO/KENYA ALLIANCE/POTENTIAL/XSOLAR/ZENKA</t>
  </si>
  <si>
    <t>07:16</t>
  </si>
  <si>
    <t>07:24</t>
  </si>
  <si>
    <t>JULIET AWINJA</t>
  </si>
  <si>
    <t>KENTOURS SACCO/KENYA ALLIANCE/POTENTIAL/ZENKA</t>
  </si>
  <si>
    <t>MARION SOITA</t>
  </si>
  <si>
    <t>ASPIRA HIRE PURCHASE/KENTOURS SACCO/KENYA ALLIANCE/ZENKA</t>
  </si>
  <si>
    <t>07:52</t>
  </si>
  <si>
    <t>TONNY ODHIAMBO</t>
  </si>
  <si>
    <t>ZENKA/ MSHWARI POTENTIAL</t>
  </si>
  <si>
    <t>BEATRICE NYAWIRA</t>
  </si>
  <si>
    <t>08:06</t>
  </si>
  <si>
    <t>ALVIN MBAISI</t>
  </si>
  <si>
    <t>ASANTE FINANCE/KENYA ALLIANCE/SHERIA SACCO/TIMIZA</t>
  </si>
  <si>
    <t>GABRIEL LUSENO</t>
  </si>
  <si>
    <t>MSHWARI-LLR/ZENKA/POTENTIAL</t>
  </si>
  <si>
    <t>BRAVIN ODHIAMBO</t>
  </si>
  <si>
    <t>RUTH SITATI</t>
  </si>
  <si>
    <t>08:39</t>
  </si>
  <si>
    <t>08:50</t>
  </si>
  <si>
    <t>ALEX MURIMI</t>
  </si>
  <si>
    <t>KCB CONVENTIONAL/NCBA LOOP/NCBA LOANS/STL</t>
  </si>
  <si>
    <t>08:57</t>
  </si>
  <si>
    <t>08:58</t>
  </si>
  <si>
    <t>OSCAR OMONDI</t>
  </si>
  <si>
    <t>KENYA ALLIANCE/LOCKBX/MSHWARI COHORT/XSOLAR/ZENKA</t>
  </si>
  <si>
    <t>08:20</t>
  </si>
  <si>
    <t>Krestein Mwai</t>
  </si>
  <si>
    <t>BAU/ZENKA/MSHWARI ALTERNATIVE</t>
  </si>
  <si>
    <t>IRENE NJERI</t>
  </si>
  <si>
    <t>07:19</t>
  </si>
  <si>
    <t>GEORGE NANDWA</t>
  </si>
  <si>
    <t>NCBA LOOP/NCBA LOANS/STL</t>
  </si>
  <si>
    <t>09:24</t>
  </si>
  <si>
    <t>NELLIAS ONYAPIDI</t>
  </si>
  <si>
    <t>ACHIENG DIANA</t>
  </si>
  <si>
    <t>VICTOR OTIENO</t>
  </si>
  <si>
    <t>BAU/MSHWARI GSA/ZENKA</t>
  </si>
  <si>
    <t>09:50</t>
  </si>
  <si>
    <t>Alice Waithera</t>
  </si>
  <si>
    <t>SUSAN MUYONGA</t>
  </si>
  <si>
    <t>SHEILA LUMUMBA</t>
  </si>
  <si>
    <t>STL/NCBA LOOP/HELB</t>
  </si>
  <si>
    <t>MARY COLETA</t>
  </si>
  <si>
    <t>Grace waigwe</t>
  </si>
  <si>
    <t>Eugene Imbayi</t>
  </si>
  <si>
    <t>HELB</t>
  </si>
  <si>
    <t>William Obuya</t>
  </si>
  <si>
    <t>Julius Macharia</t>
  </si>
  <si>
    <t>EDITH ADHIAMBO</t>
  </si>
  <si>
    <t>EVANCE MAINA</t>
  </si>
  <si>
    <t>Irine Khamila</t>
  </si>
  <si>
    <t>MSHWARI ALTERNATIVE/X SOLAR</t>
  </si>
  <si>
    <t>NANCY MUTHONI</t>
  </si>
  <si>
    <t>RONALD OMBECHE</t>
  </si>
  <si>
    <t>ROSEMARY OKUMU</t>
  </si>
  <si>
    <t>TIMIZA/NCBA LOOP/ZENKA/BAU</t>
  </si>
  <si>
    <t>SHARON ATIENO</t>
  </si>
  <si>
    <t>TIMIZA/POTENTIAL/MSHWARI GSA/ZENKA/INVOICE</t>
  </si>
  <si>
    <t>JAMES MUTHURI</t>
  </si>
  <si>
    <t>MEWASSCO</t>
  </si>
  <si>
    <t>FRIDAH KIENDE</t>
  </si>
  <si>
    <t>Wilfred Onyango</t>
  </si>
  <si>
    <t>ZENKA</t>
  </si>
  <si>
    <t>FRANKLINE OTIENO</t>
  </si>
  <si>
    <t>Caroline Njeri</t>
  </si>
  <si>
    <t>29/10/2025</t>
  </si>
  <si>
    <t>isaac Ngomo</t>
  </si>
  <si>
    <t>MSHWARI ALTERNATIVE/MSHWARI COHORT</t>
  </si>
  <si>
    <t>Boytone Omondi</t>
  </si>
  <si>
    <t>Mercy Achieng</t>
  </si>
  <si>
    <t>TIMIZA/MSHWARI POTENTIAL</t>
  </si>
  <si>
    <t>winstone Muyegu</t>
  </si>
  <si>
    <t>STANBIC</t>
  </si>
  <si>
    <t>Edmond Karanja</t>
  </si>
  <si>
    <t>KCB SME</t>
  </si>
  <si>
    <t>Grace Chebet</t>
  </si>
  <si>
    <t>NCBA 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</si>
</sst>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mmmm\ d\,\ yyyy"/>
    <numFmt numFmtId="166" formatCode="[$-F400]h:mm:ss\ AM/PM"/>
    <numFmt numFmtId="167" formatCode="yyyy\-mm\-dd;@"/>
  </numFmts>
  <fonts count="28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theme="1"/>
      <name val="Cambria"/>
      <family val="1"/>
    </font>
    <font>
      <b/>
      <sz val="11"/>
      <color rgb="FF9C5700"/>
      <name val="Arial Black"/>
      <family val="2"/>
    </font>
    <font>
      <sz val="11"/>
      <color rgb="FF9C5700"/>
      <name val="Arial Black"/>
      <family val="2"/>
    </font>
    <font>
      <b/>
      <sz val="11"/>
      <color rgb="FF9C5700"/>
      <name val="Calibri"/>
      <family val="2"/>
      <scheme val="minor"/>
    </font>
    <font>
      <sz val="11"/>
      <color rgb="FF9C5700"/>
      <name val="Calibri"/>
      <family val="2"/>
      <scheme val="minor"/>
    </font>
    <font>
      <sz val="18"/>
      <color rgb="FF9C5700"/>
      <name val="Calibri"/>
      <family val="2"/>
      <scheme val="minor"/>
    </font>
    <font>
      <b/>
      <sz val="11"/>
      <color rgb="FF006100"/>
      <name val="Arial Black"/>
      <family val="2"/>
    </font>
    <font>
      <sz val="11"/>
      <color rgb="FF006100"/>
      <name val="Arial Black"/>
      <family val="2"/>
    </font>
    <font>
      <b/>
      <sz val="11"/>
      <color rgb="FF006100"/>
      <name val="Calibri"/>
      <family val="2"/>
      <scheme val="minor"/>
    </font>
    <font>
      <sz val="16"/>
      <color rgb="FF006100"/>
      <name val="Calibri"/>
      <family val="2"/>
      <scheme val="minor"/>
    </font>
    <font>
      <sz val="10"/>
      <color theme="1"/>
      <name val="Segoe UI Black"/>
      <family val="2"/>
    </font>
    <font>
      <b/>
      <sz val="10"/>
      <color theme="1"/>
      <name val="Segoe UI Black"/>
      <family val="2"/>
    </font>
    <font>
      <b/>
      <sz val="13"/>
      <color theme="1"/>
      <name val="Antique Olive Compact"/>
      <family val="2"/>
    </font>
    <font>
      <b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9"/>
      <color rgb="FF9C5700"/>
      <name val="Arial Black"/>
      <family val="2"/>
    </font>
    <font>
      <b/>
      <sz val="11"/>
      <color theme="1"/>
      <name val="Segoe UI Black"/>
      <family val="2"/>
    </font>
    <font>
      <b/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2"/>
      <color rgb="FF0061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07">
    <xf numFmtId="0" fontId="0" fillId="0" borderId="0" xfId="0"/>
    <xf numFmtId="0" fontId="3" fillId="0" borderId="0" xfId="4"/>
    <xf numFmtId="0" fontId="6" fillId="5" borderId="1" xfId="4" applyFont="1" applyFill="1" applyBorder="1"/>
    <xf numFmtId="0" fontId="16" fillId="0" borderId="0" xfId="4" applyFont="1" applyAlignment="1">
      <alignment horizontal="center" vertical="center"/>
    </xf>
    <xf numFmtId="164" fontId="3" fillId="0" borderId="0" xfId="4" applyNumberFormat="1"/>
    <xf numFmtId="14" fontId="6" fillId="5" borderId="1" xfId="4" applyNumberFormat="1" applyFont="1" applyFill="1" applyBorder="1"/>
    <xf numFmtId="0" fontId="6" fillId="9" borderId="1" xfId="4" applyFont="1" applyFill="1" applyBorder="1"/>
    <xf numFmtId="0" fontId="2" fillId="0" borderId="0" xfId="4" applyFont="1"/>
    <xf numFmtId="14" fontId="0" fillId="0" borderId="0" xfId="0" applyNumberFormat="1"/>
    <xf numFmtId="165" fontId="0" fillId="0" borderId="0" xfId="0" applyNumberFormat="1"/>
    <xf numFmtId="3" fontId="0" fillId="0" borderId="0" xfId="0" applyNumberFormat="1"/>
    <xf numFmtId="164" fontId="2" fillId="0" borderId="0" xfId="1" applyNumberFormat="1" applyFont="1"/>
    <xf numFmtId="0" fontId="3" fillId="0" borderId="6" xfId="4" applyBorder="1"/>
    <xf numFmtId="0" fontId="0" fillId="0" borderId="6" xfId="0" applyBorder="1"/>
    <xf numFmtId="0" fontId="6" fillId="5" borderId="4" xfId="4" applyFont="1" applyFill="1" applyBorder="1"/>
    <xf numFmtId="0" fontId="6" fillId="9" borderId="4" xfId="4" applyFont="1" applyFill="1" applyBorder="1"/>
    <xf numFmtId="14" fontId="6" fillId="5" borderId="4" xfId="4" applyNumberFormat="1" applyFont="1" applyFill="1" applyBorder="1"/>
    <xf numFmtId="9" fontId="15" fillId="0" borderId="0" xfId="2" applyNumberFormat="1" applyFont="1" applyFill="1" applyBorder="1" applyAlignment="1">
      <alignment horizontal="center" vertical="center"/>
    </xf>
    <xf numFmtId="164" fontId="14" fillId="0" borderId="0" xfId="1" applyNumberFormat="1" applyFont="1" applyFill="1" applyBorder="1" applyAlignment="1">
      <alignment horizontal="center" vertical="center"/>
    </xf>
    <xf numFmtId="0" fontId="17" fillId="6" borderId="1" xfId="6" applyNumberFormat="1" applyFont="1" applyFill="1" applyBorder="1" applyAlignment="1">
      <alignment horizontal="center" vertical="center" wrapText="1"/>
    </xf>
    <xf numFmtId="0" fontId="2" fillId="10" borderId="1" xfId="6" applyNumberFormat="1" applyFont="1" applyFill="1" applyBorder="1"/>
    <xf numFmtId="0" fontId="0" fillId="0" borderId="0" xfId="6" applyNumberFormat="1" applyFont="1"/>
    <xf numFmtId="166" fontId="2" fillId="10" borderId="1" xfId="6" applyNumberFormat="1" applyFont="1" applyFill="1" applyBorder="1"/>
    <xf numFmtId="166" fontId="2" fillId="10" borderId="5" xfId="6" applyNumberFormat="1" applyFont="1" applyFill="1" applyBorder="1"/>
    <xf numFmtId="166" fontId="2" fillId="10" borderId="3" xfId="6" applyNumberFormat="1" applyFont="1" applyFill="1" applyBorder="1"/>
    <xf numFmtId="166" fontId="0" fillId="0" borderId="0" xfId="6" applyNumberFormat="1" applyFont="1"/>
    <xf numFmtId="0" fontId="19" fillId="0" borderId="0" xfId="0" applyFont="1"/>
    <xf numFmtId="0" fontId="20" fillId="11" borderId="0" xfId="0" applyFont="1" applyFill="1"/>
    <xf numFmtId="14" fontId="20" fillId="11" borderId="0" xfId="0" applyNumberFormat="1" applyFont="1" applyFill="1"/>
    <xf numFmtId="164" fontId="4" fillId="12" borderId="1" xfId="1" applyNumberFormat="1" applyFont="1" applyFill="1" applyBorder="1" applyAlignment="1">
      <alignment vertical="center"/>
    </xf>
    <xf numFmtId="164" fontId="14" fillId="12" borderId="1" xfId="1" applyNumberFormat="1" applyFont="1" applyFill="1" applyBorder="1" applyAlignment="1">
      <alignment vertical="center"/>
    </xf>
    <xf numFmtId="164" fontId="14" fillId="12" borderId="1" xfId="1" applyNumberFormat="1" applyFont="1" applyFill="1" applyBorder="1" applyAlignment="1">
      <alignment horizontal="center" vertical="center"/>
    </xf>
    <xf numFmtId="164" fontId="13" fillId="12" borderId="1" xfId="1" applyNumberFormat="1" applyFont="1" applyFill="1" applyBorder="1" applyAlignment="1">
      <alignment vertical="center"/>
    </xf>
    <xf numFmtId="164" fontId="12" fillId="12" borderId="1" xfId="1" applyNumberFormat="1" applyFont="1" applyFill="1" applyBorder="1" applyAlignment="1">
      <alignment vertical="center"/>
    </xf>
    <xf numFmtId="164" fontId="10" fillId="3" borderId="1" xfId="1" applyNumberFormat="1" applyFont="1" applyFill="1" applyBorder="1" applyAlignment="1">
      <alignment vertical="center"/>
    </xf>
    <xf numFmtId="164" fontId="9" fillId="3" borderId="1" xfId="1" applyNumberFormat="1" applyFont="1" applyFill="1" applyBorder="1" applyAlignment="1">
      <alignment vertical="center"/>
    </xf>
    <xf numFmtId="164" fontId="9" fillId="3" borderId="1" xfId="1" applyNumberFormat="1" applyFont="1" applyFill="1" applyBorder="1" applyAlignment="1">
      <alignment horizontal="center" vertical="center"/>
    </xf>
    <xf numFmtId="164" fontId="8" fillId="3" borderId="1" xfId="1" applyNumberFormat="1" applyFont="1" applyFill="1" applyBorder="1" applyAlignment="1">
      <alignment vertical="center"/>
    </xf>
    <xf numFmtId="164" fontId="7" fillId="3" borderId="1" xfId="1" applyNumberFormat="1" applyFont="1" applyFill="1" applyBorder="1" applyAlignment="1">
      <alignment vertical="center"/>
    </xf>
    <xf numFmtId="164" fontId="7" fillId="3" borderId="1" xfId="1" applyNumberFormat="1" applyFont="1" applyFill="1" applyBorder="1" applyAlignment="1">
      <alignment horizontal="center" vertical="center"/>
    </xf>
    <xf numFmtId="164" fontId="23" fillId="3" borderId="1" xfId="1" applyNumberFormat="1" applyFont="1" applyFill="1" applyBorder="1" applyAlignment="1">
      <alignment vertical="center"/>
    </xf>
    <xf numFmtId="0" fontId="2" fillId="6" borderId="1" xfId="6" applyNumberFormat="1" applyFont="1" applyFill="1" applyBorder="1"/>
    <xf numFmtId="0" fontId="1" fillId="6" borderId="1" xfId="6" applyNumberFormat="1" applyFont="1" applyFill="1" applyBorder="1"/>
    <xf numFmtId="0" fontId="2" fillId="6" borderId="5" xfId="6" applyNumberFormat="1" applyFont="1" applyFill="1" applyBorder="1"/>
    <xf numFmtId="0" fontId="2" fillId="6" borderId="3" xfId="6" applyNumberFormat="1" applyFont="1" applyFill="1" applyBorder="1"/>
    <xf numFmtId="0" fontId="24" fillId="6" borderId="1" xfId="6" applyNumberFormat="1" applyFont="1" applyFill="1" applyBorder="1" applyAlignment="1">
      <alignment horizontal="center" vertical="center" wrapText="1"/>
    </xf>
    <xf numFmtId="0" fontId="17" fillId="7" borderId="1" xfId="4" applyNumberFormat="1" applyFont="1" applyFill="1" applyBorder="1" applyAlignment="1">
      <alignment horizontal="center" vertical="center"/>
    </xf>
    <xf numFmtId="0" fontId="17" fillId="7" borderId="1" xfId="4" applyNumberFormat="1" applyFont="1" applyFill="1" applyBorder="1" applyAlignment="1">
      <alignment horizontal="center" vertical="center" wrapText="1"/>
    </xf>
    <xf numFmtId="0" fontId="24" fillId="7" borderId="1" xfId="4" applyNumberFormat="1" applyFont="1" applyFill="1" applyBorder="1" applyAlignment="1">
      <alignment horizontal="center" vertical="center" wrapText="1"/>
    </xf>
    <xf numFmtId="0" fontId="24" fillId="6" borderId="1" xfId="4" applyNumberFormat="1" applyFont="1" applyFill="1" applyBorder="1" applyAlignment="1">
      <alignment horizontal="center" vertical="center" wrapText="1"/>
    </xf>
    <xf numFmtId="0" fontId="6" fillId="5" borderId="1" xfId="4" applyNumberFormat="1" applyFont="1" applyFill="1" applyBorder="1"/>
    <xf numFmtId="0" fontId="6" fillId="9" borderId="1" xfId="4" applyNumberFormat="1" applyFont="1" applyFill="1" applyBorder="1"/>
    <xf numFmtId="0" fontId="6" fillId="8" borderId="1" xfId="4" applyNumberFormat="1" applyFont="1" applyFill="1" applyBorder="1"/>
    <xf numFmtId="0" fontId="2" fillId="10" borderId="2" xfId="6" applyNumberFormat="1" applyFont="1" applyFill="1" applyBorder="1"/>
    <xf numFmtId="0" fontId="3" fillId="8" borderId="1" xfId="3" applyNumberFormat="1" applyFill="1" applyBorder="1"/>
    <xf numFmtId="0" fontId="3" fillId="0" borderId="6" xfId="4" applyNumberFormat="1" applyBorder="1"/>
    <xf numFmtId="0" fontId="3" fillId="0" borderId="0" xfId="4" applyNumberFormat="1"/>
    <xf numFmtId="0" fontId="0" fillId="0" borderId="0" xfId="0" applyNumberFormat="1"/>
    <xf numFmtId="0" fontId="14" fillId="0" borderId="0" xfId="1" applyNumberFormat="1" applyFont="1" applyFill="1" applyBorder="1" applyAlignment="1">
      <alignment horizontal="center" vertical="center"/>
    </xf>
    <xf numFmtId="167" fontId="6" fillId="5" borderId="1" xfId="4" applyNumberFormat="1" applyFont="1" applyFill="1" applyBorder="1"/>
    <xf numFmtId="167" fontId="6" fillId="5" borderId="4" xfId="4" applyNumberFormat="1" applyFont="1" applyFill="1" applyBorder="1"/>
    <xf numFmtId="167" fontId="0" fillId="0" borderId="0" xfId="0" applyNumberFormat="1"/>
    <xf numFmtId="0" fontId="4" fillId="2" borderId="1" xfId="2" applyBorder="1"/>
    <xf numFmtId="0" fontId="27" fillId="2" borderId="1" xfId="2" applyFont="1" applyBorder="1"/>
    <xf numFmtId="164" fontId="4" fillId="2" borderId="1" xfId="1" applyNumberFormat="1" applyFont="1" applyFill="1" applyBorder="1"/>
    <xf numFmtId="0" fontId="14" fillId="12" borderId="1" xfId="1" applyNumberFormat="1" applyFont="1" applyFill="1" applyBorder="1" applyAlignment="1">
      <alignment horizontal="center" vertical="center"/>
    </xf>
    <xf numFmtId="0" fontId="3" fillId="8" borderId="4" xfId="3" applyNumberFormat="1" applyFill="1" applyBorder="1"/>
    <xf numFmtId="0" fontId="6" fillId="5" borderId="4" xfId="4" applyNumberFormat="1" applyFont="1" applyFill="1" applyBorder="1"/>
    <xf numFmtId="4" fontId="2" fillId="6" borderId="1" xfId="6" applyNumberFormat="1" applyFont="1" applyFill="1" applyBorder="1"/>
    <xf numFmtId="9" fontId="17" fillId="6" borderId="1" xfId="6" applyFont="1" applyFill="1" applyBorder="1" applyAlignment="1">
      <alignment horizontal="right" vertical="center" wrapText="1"/>
    </xf>
    <xf numFmtId="9" fontId="2" fillId="10" borderId="1" xfId="6" applyFont="1" applyFill="1" applyBorder="1" applyAlignment="1">
      <alignment horizontal="right"/>
    </xf>
    <xf numFmtId="9" fontId="2" fillId="10" borderId="5" xfId="6" applyFont="1" applyFill="1" applyBorder="1" applyAlignment="1">
      <alignment horizontal="right"/>
    </xf>
    <xf numFmtId="9" fontId="2" fillId="10" borderId="3" xfId="6" applyFont="1" applyFill="1" applyBorder="1" applyAlignment="1">
      <alignment horizontal="right"/>
    </xf>
    <xf numFmtId="9" fontId="0" fillId="0" borderId="0" xfId="6" applyFont="1" applyAlignment="1">
      <alignment horizontal="right"/>
    </xf>
    <xf numFmtId="164" fontId="2" fillId="6" borderId="1" xfId="1" applyNumberFormat="1" applyFont="1" applyFill="1" applyBorder="1"/>
    <xf numFmtId="0" fontId="21" fillId="0" borderId="0" xfId="0" applyFont="1"/>
    <xf numFmtId="0" fontId="9" fillId="3" borderId="1" xfId="1" applyNumberFormat="1" applyFont="1" applyFill="1" applyBorder="1" applyAlignment="1">
      <alignment vertical="center"/>
    </xf>
    <xf numFmtId="0" fontId="7" fillId="3" borderId="1" xfId="1" applyNumberFormat="1" applyFont="1" applyFill="1" applyBorder="1" applyAlignment="1">
      <alignment vertical="center"/>
    </xf>
    <xf numFmtId="0" fontId="26" fillId="2" borderId="10" xfId="2" applyFont="1" applyBorder="1" applyAlignment="1">
      <alignment horizontal="center"/>
    </xf>
    <xf numFmtId="0" fontId="26" fillId="2" borderId="11" xfId="2" applyFont="1" applyBorder="1" applyAlignment="1">
      <alignment horizontal="center"/>
    </xf>
    <xf numFmtId="0" fontId="26" fillId="2" borderId="12" xfId="2" applyFont="1" applyBorder="1" applyAlignment="1">
      <alignment horizontal="center"/>
    </xf>
    <xf numFmtId="0" fontId="26" fillId="2" borderId="13" xfId="2" applyFont="1" applyBorder="1" applyAlignment="1">
      <alignment horizontal="center"/>
    </xf>
    <xf numFmtId="0" fontId="26" fillId="2" borderId="14" xfId="2" applyFont="1" applyBorder="1" applyAlignment="1">
      <alignment horizontal="center"/>
    </xf>
    <xf numFmtId="0" fontId="26" fillId="2" borderId="15" xfId="2" applyFont="1" applyBorder="1" applyAlignment="1">
      <alignment horizontal="center"/>
    </xf>
    <xf numFmtId="0" fontId="25" fillId="2" borderId="9" xfId="2" applyFont="1" applyBorder="1" applyAlignment="1">
      <alignment horizontal="center" wrapText="1"/>
    </xf>
    <xf numFmtId="0" fontId="25" fillId="2" borderId="4" xfId="2" applyFont="1" applyBorder="1" applyAlignment="1">
      <alignment horizontal="center" wrapText="1"/>
    </xf>
    <xf numFmtId="0" fontId="25" fillId="2" borderId="9" xfId="2" applyFont="1" applyBorder="1" applyAlignment="1">
      <alignment horizontal="center"/>
    </xf>
    <xf numFmtId="0" fontId="25" fillId="2" borderId="4" xfId="2" applyFont="1" applyBorder="1" applyAlignment="1">
      <alignment horizontal="center"/>
    </xf>
    <xf numFmtId="164" fontId="9" fillId="3" borderId="1" xfId="1" applyNumberFormat="1" applyFont="1" applyFill="1" applyBorder="1" applyAlignment="1">
      <alignment horizontal="center" vertical="center" wrapText="1"/>
    </xf>
    <xf numFmtId="164" fontId="22" fillId="13" borderId="1" xfId="1" applyNumberFormat="1" applyFont="1" applyFill="1" applyBorder="1" applyAlignment="1">
      <alignment horizontal="center" vertical="center" wrapText="1"/>
    </xf>
    <xf numFmtId="0" fontId="18" fillId="6" borderId="2" xfId="5" applyNumberFormat="1" applyFont="1" applyFill="1" applyBorder="1" applyAlignment="1">
      <alignment horizontal="center" vertical="center"/>
    </xf>
    <xf numFmtId="0" fontId="18" fillId="6" borderId="7" xfId="5" applyNumberFormat="1" applyFont="1" applyFill="1" applyBorder="1" applyAlignment="1">
      <alignment horizontal="center" vertical="center"/>
    </xf>
    <xf numFmtId="0" fontId="18" fillId="6" borderId="8" xfId="5" applyNumberFormat="1" applyFont="1" applyFill="1" applyBorder="1" applyAlignment="1">
      <alignment horizontal="center" vertical="center"/>
    </xf>
    <xf numFmtId="164" fontId="14" fillId="12" borderId="1" xfId="1" applyNumberFormat="1" applyFont="1" applyFill="1" applyBorder="1" applyAlignment="1">
      <alignment horizontal="center" vertical="center" wrapText="1"/>
    </xf>
    <xf numFmtId="0" fontId="9" fillId="3" borderId="1" xfId="1" applyNumberFormat="1" applyFont="1" applyFill="1" applyBorder="1" applyAlignment="1">
      <alignment horizontal="center" vertical="center" wrapText="1"/>
    </xf>
    <xf numFmtId="164" fontId="11" fillId="3" borderId="10" xfId="1" applyNumberFormat="1" applyFont="1" applyFill="1" applyBorder="1" applyAlignment="1">
      <alignment horizontal="center" vertical="center"/>
    </xf>
    <xf numFmtId="164" fontId="11" fillId="3" borderId="11" xfId="1" applyNumberFormat="1" applyFont="1" applyFill="1" applyBorder="1" applyAlignment="1">
      <alignment horizontal="center" vertical="center"/>
    </xf>
    <xf numFmtId="164" fontId="11" fillId="3" borderId="12" xfId="1" applyNumberFormat="1" applyFont="1" applyFill="1" applyBorder="1" applyAlignment="1">
      <alignment horizontal="center" vertical="center"/>
    </xf>
    <xf numFmtId="164" fontId="11" fillId="3" borderId="13" xfId="1" applyNumberFormat="1" applyFont="1" applyFill="1" applyBorder="1" applyAlignment="1">
      <alignment horizontal="center" vertical="center"/>
    </xf>
    <xf numFmtId="164" fontId="11" fillId="3" borderId="14" xfId="1" applyNumberFormat="1" applyFont="1" applyFill="1" applyBorder="1" applyAlignment="1">
      <alignment horizontal="center" vertical="center"/>
    </xf>
    <xf numFmtId="164" fontId="11" fillId="3" borderId="15" xfId="1" applyNumberFormat="1" applyFont="1" applyFill="1" applyBorder="1" applyAlignment="1">
      <alignment horizontal="center" vertical="center"/>
    </xf>
    <xf numFmtId="164" fontId="4" fillId="12" borderId="1" xfId="1" applyNumberFormat="1" applyFont="1" applyFill="1" applyBorder="1" applyAlignment="1">
      <alignment horizontal="center" vertical="center" wrapText="1"/>
    </xf>
    <xf numFmtId="9" fontId="15" fillId="12" borderId="1" xfId="2" applyNumberFormat="1" applyFont="1" applyFill="1" applyBorder="1" applyAlignment="1">
      <alignment horizontal="center" vertical="center"/>
    </xf>
    <xf numFmtId="0" fontId="7" fillId="3" borderId="1" xfId="1" applyNumberFormat="1" applyFont="1" applyFill="1" applyBorder="1" applyAlignment="1">
      <alignment horizontal="center" vertical="center"/>
    </xf>
    <xf numFmtId="164" fontId="4" fillId="12" borderId="1" xfId="1" applyNumberFormat="1" applyFont="1" applyFill="1" applyBorder="1" applyAlignment="1">
      <alignment horizontal="center" vertical="center"/>
    </xf>
    <xf numFmtId="0" fontId="9" fillId="3" borderId="1" xfId="1" applyNumberFormat="1" applyFont="1" applyFill="1" applyBorder="1" applyAlignment="1">
      <alignment horizontal="center" vertical="center"/>
    </xf>
    <xf numFmtId="164" fontId="9" fillId="3" borderId="1" xfId="1" applyNumberFormat="1" applyFont="1" applyFill="1" applyBorder="1" applyAlignment="1">
      <alignment horizontal="center" vertical="center"/>
    </xf>
  </cellXfs>
  <cellStyles count="7">
    <cellStyle name="40% - Accent1" xfId="3" builtinId="31"/>
    <cellStyle name="Comma" xfId="1" builtinId="3"/>
    <cellStyle name="Comma 2" xfId="5"/>
    <cellStyle name="Good" xfId="2" builtinId="26"/>
    <cellStyle name="Normal" xfId="0" builtinId="0"/>
    <cellStyle name="Normal 2" xfId="4"/>
    <cellStyle name="Percent" xfId="6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9"/>
  <sheetViews>
    <sheetView tabSelected="1" topLeftCell="O1" zoomScale="86" zoomScaleNormal="86" workbookViewId="0">
      <selection activeCell="G12" sqref="G12"/>
    </sheetView>
  </sheetViews>
  <sheetFormatPr defaultRowHeight="15" customHeight="1"/>
  <cols>
    <col min="1" max="1" width="20.1796875" customWidth="1"/>
    <col min="2" max="2" width="18.81640625" customWidth="1"/>
    <col min="3" max="3" width="18.81640625" style="8" customWidth="1"/>
    <col min="4" max="4" width="18.81640625" customWidth="1"/>
    <col min="5" max="5" width="18.1796875" customWidth="1"/>
    <col min="6" max="6" width="18.1796875" style="61" customWidth="1"/>
    <col min="7" max="8" width="18.1796875" customWidth="1"/>
    <col min="9" max="9" width="18.1796875" style="57" customWidth="1"/>
    <col min="10" max="10" width="19.1796875" style="57" customWidth="1"/>
    <col min="11" max="11" width="17.1796875" style="57" customWidth="1"/>
    <col min="12" max="13" width="17.1796875" style="21" customWidth="1"/>
    <col min="14" max="14" width="17.1796875" style="73" customWidth="1"/>
    <col min="15" max="17" width="17.1796875" style="25" customWidth="1"/>
    <col min="18" max="18" width="24.453125" bestFit="1" customWidth="1"/>
    <col min="19" max="19" width="16.54296875" customWidth="1"/>
    <col min="20" max="20" width="17.1796875" customWidth="1"/>
    <col min="21" max="21" width="15.54296875" bestFit="1" customWidth="1"/>
    <col min="22" max="22" width="14" customWidth="1"/>
    <col min="23" max="23" width="19.453125" customWidth="1"/>
    <col min="24" max="24" width="15" customWidth="1"/>
    <col min="25" max="25" width="15.54296875" style="57" customWidth="1"/>
    <col min="26" max="26" width="14.26953125" customWidth="1"/>
    <col min="27" max="27" width="16.1796875" customWidth="1"/>
    <col min="28" max="28" width="16" bestFit="1" customWidth="1"/>
  </cols>
  <sheetData>
    <row r="1" spans="1:28" s="13" customFormat="1" ht="16.5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2"/>
      <c r="R1" s="12"/>
      <c r="S1" s="12"/>
      <c r="T1" s="12"/>
      <c r="U1" s="12"/>
      <c r="V1" s="12"/>
      <c r="W1" s="12"/>
      <c r="X1" s="12"/>
      <c r="Y1" s="55"/>
      <c r="Z1" s="12"/>
    </row>
    <row r="2" spans="1:28" ht="33">
      <c r="A2" s="46" t="s">
        <v>1</v>
      </c>
      <c r="B2" s="46" t="s">
        <v>2</v>
      </c>
      <c r="C2" s="47" t="s">
        <v>3</v>
      </c>
      <c r="D2" s="47" t="s">
        <v>4</v>
      </c>
      <c r="E2" s="47" t="s">
        <v>5</v>
      </c>
      <c r="F2" s="47" t="s">
        <v>6</v>
      </c>
      <c r="G2" s="47" t="s">
        <v>7</v>
      </c>
      <c r="H2" s="47" t="s">
        <v>8</v>
      </c>
      <c r="I2" s="48" t="s">
        <v>39</v>
      </c>
      <c r="J2" s="48" t="s">
        <v>41</v>
      </c>
      <c r="K2" s="49" t="s">
        <v>35</v>
      </c>
      <c r="L2" s="45" t="s">
        <v>37</v>
      </c>
      <c r="M2" s="19" t="s">
        <v>34</v>
      </c>
      <c r="N2" s="69" t="s">
        <v>33</v>
      </c>
      <c r="O2" s="19" t="s">
        <v>9</v>
      </c>
      <c r="P2" s="19" t="s">
        <v>10</v>
      </c>
      <c r="Q2" s="19" t="s">
        <v>11</v>
      </c>
      <c r="R2" s="1"/>
      <c r="S2" s="1"/>
      <c r="T2" s="1"/>
      <c r="U2" s="1"/>
      <c r="V2" s="1"/>
      <c r="W2" s="1"/>
      <c r="X2" s="1"/>
      <c r="Y2" s="56"/>
      <c r="Z2" s="3"/>
    </row>
    <row r="3" spans="1:28" ht="15" customHeight="1">
      <c r="A3" s="50" t="s">
        <v>45</v>
      </c>
      <c r="B3" s="51">
        <v>1097</v>
      </c>
      <c r="C3" s="50" t="s">
        <v>46</v>
      </c>
      <c r="D3" s="50" t="s">
        <v>23</v>
      </c>
      <c r="E3" s="50" t="s">
        <v>13</v>
      </c>
      <c r="F3" s="50">
        <v>45782</v>
      </c>
      <c r="G3" s="51" t="s">
        <v>47</v>
      </c>
      <c r="H3" s="50" t="s">
        <v>48</v>
      </c>
      <c r="I3" s="50">
        <v>60</v>
      </c>
      <c r="J3" s="50">
        <v>170000</v>
      </c>
      <c r="K3" s="52">
        <v>17</v>
      </c>
      <c r="L3" s="74">
        <v>148400</v>
      </c>
      <c r="M3" s="42">
        <v>43</v>
      </c>
      <c r="N3" s="70">
        <v>0.87294117647058822</v>
      </c>
      <c r="O3" s="20" t="s">
        <v>49</v>
      </c>
      <c r="P3" s="20" t="s">
        <v>50</v>
      </c>
      <c r="Q3" s="53" t="s">
        <v>51</v>
      </c>
      <c r="R3" s="102" t="s">
        <v>14</v>
      </c>
      <c r="S3" s="102"/>
      <c r="T3" s="102"/>
      <c r="U3" s="102"/>
      <c r="V3" s="102"/>
      <c r="W3" s="102"/>
      <c r="X3" s="17"/>
    </row>
    <row r="4" spans="1:28" ht="15" customHeight="1">
      <c r="A4" s="50" t="s">
        <v>52</v>
      </c>
      <c r="B4" s="51">
        <v>1067</v>
      </c>
      <c r="C4" s="50" t="s">
        <v>53</v>
      </c>
      <c r="D4" s="50" t="s">
        <v>17</v>
      </c>
      <c r="E4" s="50" t="s">
        <v>18</v>
      </c>
      <c r="F4" s="50">
        <v>45315</v>
      </c>
      <c r="G4" s="51" t="s">
        <v>47</v>
      </c>
      <c r="H4" s="50" t="s">
        <v>54</v>
      </c>
      <c r="I4" s="50">
        <v>150</v>
      </c>
      <c r="J4" s="50">
        <v>230138.880093391</v>
      </c>
      <c r="K4" s="52">
        <v>16</v>
      </c>
      <c r="L4" s="74">
        <v>28400</v>
      </c>
      <c r="M4" s="42">
        <v>134</v>
      </c>
      <c r="N4" s="70">
        <v>0.12340374641814196</v>
      </c>
      <c r="O4" s="20" t="s">
        <v>55</v>
      </c>
      <c r="P4" s="20" t="s">
        <v>56</v>
      </c>
      <c r="Q4" s="53" t="s">
        <v>51</v>
      </c>
      <c r="R4" s="104" t="s">
        <v>15</v>
      </c>
      <c r="S4" s="101" t="s">
        <v>16</v>
      </c>
      <c r="T4" s="101" t="s">
        <v>40</v>
      </c>
      <c r="U4" s="93" t="s">
        <v>35</v>
      </c>
      <c r="V4" s="93" t="s">
        <v>38</v>
      </c>
      <c r="W4" s="93" t="s">
        <v>34</v>
      </c>
      <c r="X4" s="18"/>
      <c r="Y4" s="58"/>
    </row>
    <row r="5" spans="1:28" ht="15" customHeight="1">
      <c r="A5" s="50" t="s">
        <v>57</v>
      </c>
      <c r="B5" s="51">
        <v>1052</v>
      </c>
      <c r="C5" s="50" t="s">
        <v>58</v>
      </c>
      <c r="D5" s="50" t="s">
        <v>23</v>
      </c>
      <c r="E5" s="50" t="s">
        <v>13</v>
      </c>
      <c r="F5" s="50">
        <v>45688</v>
      </c>
      <c r="G5" s="51" t="s">
        <v>47</v>
      </c>
      <c r="H5" s="50" t="s">
        <v>54</v>
      </c>
      <c r="I5" s="50">
        <v>150</v>
      </c>
      <c r="J5" s="50">
        <v>216666.66666666701</v>
      </c>
      <c r="K5" s="52">
        <v>15</v>
      </c>
      <c r="L5" s="74">
        <v>29400</v>
      </c>
      <c r="M5" s="42">
        <v>135</v>
      </c>
      <c r="N5" s="70">
        <v>0.13569230769230747</v>
      </c>
      <c r="O5" s="20" t="s">
        <v>59</v>
      </c>
      <c r="P5" s="20" t="s">
        <v>60</v>
      </c>
      <c r="Q5" s="53" t="s">
        <v>61</v>
      </c>
      <c r="R5" s="104"/>
      <c r="S5" s="101"/>
      <c r="T5" s="101"/>
      <c r="U5" s="93"/>
      <c r="V5" s="93"/>
      <c r="W5" s="93"/>
      <c r="X5" s="18"/>
      <c r="Y5" s="58"/>
    </row>
    <row r="6" spans="1:28" ht="15" customHeight="1">
      <c r="A6" s="50" t="s">
        <v>62</v>
      </c>
      <c r="B6" s="51">
        <v>1111</v>
      </c>
      <c r="C6" s="50" t="s">
        <v>63</v>
      </c>
      <c r="D6" s="50" t="s">
        <v>12</v>
      </c>
      <c r="E6" s="50" t="s">
        <v>13</v>
      </c>
      <c r="F6" s="50">
        <v>45895</v>
      </c>
      <c r="G6" s="51" t="s">
        <v>47</v>
      </c>
      <c r="H6" s="50" t="s">
        <v>64</v>
      </c>
      <c r="I6" s="50">
        <v>150</v>
      </c>
      <c r="J6" s="50">
        <v>219166.66666666701</v>
      </c>
      <c r="K6" s="52">
        <v>15</v>
      </c>
      <c r="L6" s="74">
        <v>243259</v>
      </c>
      <c r="M6" s="42">
        <v>135</v>
      </c>
      <c r="N6" s="70">
        <v>1.109926996197717</v>
      </c>
      <c r="O6" s="20" t="s">
        <v>65</v>
      </c>
      <c r="P6" s="20" t="s">
        <v>66</v>
      </c>
      <c r="Q6" s="53" t="s">
        <v>51</v>
      </c>
      <c r="R6" s="29" t="s">
        <v>20</v>
      </c>
      <c r="S6" s="30">
        <f>COUNTIF(E3:E1048576,R6)</f>
        <v>21</v>
      </c>
      <c r="T6" s="30">
        <f>SUMIF(E3:E102,R6,J3:J1048576)</f>
        <v>3987230.7621544679</v>
      </c>
      <c r="U6" s="30">
        <f>SUMIF(E3:E102,R6,K3:K1048576)</f>
        <v>76</v>
      </c>
      <c r="V6" s="31">
        <f>SUMIF(E3:E102,R6,L3:L1048576)</f>
        <v>641337.25</v>
      </c>
      <c r="W6" s="65">
        <f>SUMIF(E3:E102,R6,M3:M1048576)</f>
        <v>2444</v>
      </c>
      <c r="X6" s="18"/>
      <c r="Y6" s="58"/>
    </row>
    <row r="7" spans="1:28" ht="15" customHeight="1">
      <c r="A7" s="50" t="s">
        <v>67</v>
      </c>
      <c r="B7" s="51">
        <v>1059</v>
      </c>
      <c r="C7" s="50" t="s">
        <v>68</v>
      </c>
      <c r="D7" s="50" t="s">
        <v>17</v>
      </c>
      <c r="E7" s="50" t="s">
        <v>18</v>
      </c>
      <c r="F7" s="50">
        <v>45735</v>
      </c>
      <c r="G7" s="51" t="s">
        <v>47</v>
      </c>
      <c r="H7" s="50" t="s">
        <v>54</v>
      </c>
      <c r="I7" s="50">
        <v>150</v>
      </c>
      <c r="J7" s="50">
        <v>217466.36372841499</v>
      </c>
      <c r="K7" s="52">
        <v>14</v>
      </c>
      <c r="L7" s="74">
        <v>38470</v>
      </c>
      <c r="M7" s="42">
        <v>136</v>
      </c>
      <c r="N7" s="70">
        <v>0.17690092086169076</v>
      </c>
      <c r="O7" s="20" t="s">
        <v>69</v>
      </c>
      <c r="P7" s="20" t="s">
        <v>70</v>
      </c>
      <c r="Q7" s="53" t="s">
        <v>71</v>
      </c>
      <c r="R7" s="29" t="s">
        <v>18</v>
      </c>
      <c r="S7" s="30">
        <f>COUNTIF(E3:E1048576,R7)</f>
        <v>18</v>
      </c>
      <c r="T7" s="30">
        <f>SUMIF(E3:E102,R7,J3:J1048576)</f>
        <v>3943824.8629096188</v>
      </c>
      <c r="U7" s="30">
        <f>SUMIF(E3:E102,R7,K3:K1048576)</f>
        <v>84</v>
      </c>
      <c r="V7" s="31">
        <f>SUMIF(E3:E102,R7,L3:L1048576)</f>
        <v>322774</v>
      </c>
      <c r="W7" s="65">
        <f>SUMIF(E3:E102,R7,M3:M1048576)</f>
        <v>2571</v>
      </c>
      <c r="X7" s="18"/>
      <c r="Y7" s="58"/>
    </row>
    <row r="8" spans="1:28" ht="15" customHeight="1">
      <c r="A8" s="50" t="s">
        <v>72</v>
      </c>
      <c r="B8" s="51">
        <v>1093</v>
      </c>
      <c r="C8" s="50" t="s">
        <v>73</v>
      </c>
      <c r="D8" s="50" t="s">
        <v>12</v>
      </c>
      <c r="E8" s="50" t="s">
        <v>13</v>
      </c>
      <c r="F8" s="50">
        <v>45824.429781354163</v>
      </c>
      <c r="G8" s="51" t="s">
        <v>47</v>
      </c>
      <c r="H8" s="50" t="s">
        <v>64</v>
      </c>
      <c r="I8" s="50">
        <v>150</v>
      </c>
      <c r="J8" s="50">
        <v>173635.23905999999</v>
      </c>
      <c r="K8" s="52">
        <v>13</v>
      </c>
      <c r="L8" s="74">
        <v>53956</v>
      </c>
      <c r="M8" s="42">
        <v>137</v>
      </c>
      <c r="N8" s="70">
        <v>0.31074337382261097</v>
      </c>
      <c r="O8" s="20" t="s">
        <v>74</v>
      </c>
      <c r="P8" s="20" t="s">
        <v>75</v>
      </c>
      <c r="Q8" s="53" t="s">
        <v>71</v>
      </c>
      <c r="R8" s="29" t="s">
        <v>21</v>
      </c>
      <c r="S8" s="30">
        <f>COUNTIF(E3:E1048576,R8)</f>
        <v>0</v>
      </c>
      <c r="T8" s="30">
        <f>SUMIF(E3:E102,R8,J3:J1048576)</f>
        <v>0</v>
      </c>
      <c r="U8" s="30">
        <f>SUMIF(E3:E102,R8,K3:K1048576)</f>
        <v>0</v>
      </c>
      <c r="V8" s="31">
        <f>SUMIF(E3:E102,R8,L3:L1048576)</f>
        <v>0</v>
      </c>
      <c r="W8" s="65">
        <f>SUMIF(E3:E102,R8,M3:M1048576)</f>
        <v>0</v>
      </c>
      <c r="X8" s="18"/>
      <c r="Y8" s="58"/>
    </row>
    <row r="9" spans="1:28" ht="14.5">
      <c r="A9" s="50" t="s">
        <v>76</v>
      </c>
      <c r="B9" s="51">
        <v>1049</v>
      </c>
      <c r="C9" s="50" t="s">
        <v>68</v>
      </c>
      <c r="D9" s="50" t="s">
        <v>23</v>
      </c>
      <c r="E9" s="50" t="s">
        <v>13</v>
      </c>
      <c r="F9" s="50">
        <v>44685</v>
      </c>
      <c r="G9" s="51" t="s">
        <v>47</v>
      </c>
      <c r="H9" s="50" t="s">
        <v>77</v>
      </c>
      <c r="I9" s="50">
        <v>105</v>
      </c>
      <c r="J9" s="50">
        <v>171135.23905999999</v>
      </c>
      <c r="K9" s="52">
        <v>12</v>
      </c>
      <c r="L9" s="74">
        <v>47653</v>
      </c>
      <c r="M9" s="42">
        <v>93</v>
      </c>
      <c r="N9" s="70">
        <v>0.27845229458143839</v>
      </c>
      <c r="O9" s="20" t="s">
        <v>78</v>
      </c>
      <c r="P9" s="20" t="s">
        <v>79</v>
      </c>
      <c r="Q9" s="53" t="s">
        <v>71</v>
      </c>
      <c r="R9" s="29" t="s">
        <v>13</v>
      </c>
      <c r="S9" s="30">
        <f>COUNTIF(E3:E1048576,R9)</f>
        <v>21</v>
      </c>
      <c r="T9" s="30">
        <f>SUMIF(E3:E102,R9,J3:J1048576)</f>
        <v>3699365.0455197142</v>
      </c>
      <c r="U9" s="30">
        <f>SUMIF(E3:E102,R9,K3:K1048576)</f>
        <v>154</v>
      </c>
      <c r="V9" s="31">
        <f>SUMIF(E3:E102,R9,L3:L1048576)</f>
        <v>646086.13</v>
      </c>
      <c r="W9" s="65">
        <f>SUMIF(E3:E102,R9,M3:M1048576)</f>
        <v>2771</v>
      </c>
      <c r="X9" s="18"/>
      <c r="Y9" s="58"/>
    </row>
    <row r="10" spans="1:28" ht="15.75" customHeight="1">
      <c r="A10" s="50" t="s">
        <v>80</v>
      </c>
      <c r="B10" s="51">
        <v>1137</v>
      </c>
      <c r="C10" s="50" t="s">
        <v>81</v>
      </c>
      <c r="D10" s="50" t="s">
        <v>23</v>
      </c>
      <c r="E10" s="50" t="s">
        <v>13</v>
      </c>
      <c r="F10" s="50">
        <v>45971</v>
      </c>
      <c r="G10" s="51" t="s">
        <v>47</v>
      </c>
      <c r="H10" s="50" t="s">
        <v>64</v>
      </c>
      <c r="I10" s="50">
        <v>150</v>
      </c>
      <c r="J10" s="50">
        <v>0</v>
      </c>
      <c r="K10" s="52">
        <v>10</v>
      </c>
      <c r="L10" s="74">
        <v>4009</v>
      </c>
      <c r="M10" s="42">
        <v>140</v>
      </c>
      <c r="N10" s="70" t="e">
        <v>#DIV/0!</v>
      </c>
      <c r="O10" s="20" t="s">
        <v>82</v>
      </c>
      <c r="P10" s="20" t="s">
        <v>83</v>
      </c>
      <c r="Q10" s="53" t="s">
        <v>84</v>
      </c>
      <c r="R10" s="32" t="s">
        <v>22</v>
      </c>
      <c r="S10" s="33">
        <f>SUM(S6:S9)</f>
        <v>60</v>
      </c>
      <c r="T10" s="33">
        <f>SUM(T6:T9)</f>
        <v>11630420.670583799</v>
      </c>
      <c r="U10" s="30">
        <f>SUM(U6:U9)</f>
        <v>314</v>
      </c>
      <c r="V10" s="31">
        <f>SUM(V6:V9)</f>
        <v>1610197.38</v>
      </c>
      <c r="W10" s="65">
        <f>SUM(W6:W9)</f>
        <v>7786</v>
      </c>
      <c r="X10" s="18"/>
      <c r="Y10" s="58"/>
    </row>
    <row r="11" spans="1:28" ht="14.5">
      <c r="A11" s="50" t="s">
        <v>85</v>
      </c>
      <c r="B11" s="51">
        <v>1056</v>
      </c>
      <c r="C11" s="50" t="s">
        <v>86</v>
      </c>
      <c r="D11" s="50" t="s">
        <v>23</v>
      </c>
      <c r="E11" s="50" t="s">
        <v>13</v>
      </c>
      <c r="F11" s="50">
        <v>44685</v>
      </c>
      <c r="G11" s="51" t="s">
        <v>47</v>
      </c>
      <c r="H11" s="50" t="s">
        <v>54</v>
      </c>
      <c r="I11" s="50">
        <v>150</v>
      </c>
      <c r="J11" s="50">
        <v>196666.66666666701</v>
      </c>
      <c r="K11" s="52">
        <v>9</v>
      </c>
      <c r="L11" s="74">
        <v>5734</v>
      </c>
      <c r="M11" s="42">
        <v>141</v>
      </c>
      <c r="N11" s="70">
        <v>2.915593220338978E-2</v>
      </c>
      <c r="O11" s="20" t="s">
        <v>87</v>
      </c>
      <c r="P11" s="20" t="s">
        <v>88</v>
      </c>
      <c r="Q11" s="20" t="s">
        <v>71</v>
      </c>
      <c r="R11" s="11"/>
      <c r="S11" s="11"/>
      <c r="T11" s="11"/>
      <c r="U11" s="11"/>
      <c r="V11" s="11"/>
      <c r="W11" s="11"/>
      <c r="X11" s="11"/>
      <c r="Y11" s="56"/>
    </row>
    <row r="12" spans="1:28" ht="14.5">
      <c r="A12" s="50" t="s">
        <v>89</v>
      </c>
      <c r="B12" s="51">
        <v>1110</v>
      </c>
      <c r="C12" s="50" t="s">
        <v>90</v>
      </c>
      <c r="D12" s="50" t="s">
        <v>23</v>
      </c>
      <c r="E12" s="50" t="s">
        <v>13</v>
      </c>
      <c r="F12" s="50">
        <v>45896</v>
      </c>
      <c r="G12" s="51" t="s">
        <v>47</v>
      </c>
      <c r="H12" s="50" t="s">
        <v>64</v>
      </c>
      <c r="I12" s="50">
        <v>150</v>
      </c>
      <c r="J12" s="50">
        <v>196666.66666666701</v>
      </c>
      <c r="K12" s="52">
        <v>9</v>
      </c>
      <c r="L12" s="74">
        <v>8058.82</v>
      </c>
      <c r="M12" s="42">
        <v>141</v>
      </c>
      <c r="N12" s="70">
        <v>4.0977050847457556E-2</v>
      </c>
      <c r="O12" s="20" t="s">
        <v>91</v>
      </c>
      <c r="P12" s="20" t="s">
        <v>92</v>
      </c>
      <c r="Q12" s="20" t="s">
        <v>51</v>
      </c>
      <c r="R12" s="1"/>
      <c r="S12" s="1"/>
      <c r="T12" s="1"/>
      <c r="U12" s="1"/>
      <c r="V12" s="1"/>
      <c r="W12" s="1"/>
      <c r="X12" s="1"/>
      <c r="Y12" s="56"/>
      <c r="Z12" s="1"/>
    </row>
    <row r="13" spans="1:28" ht="15.75" customHeight="1">
      <c r="A13" s="50" t="s">
        <v>93</v>
      </c>
      <c r="B13" s="51">
        <v>1034</v>
      </c>
      <c r="C13" s="50" t="s">
        <v>94</v>
      </c>
      <c r="D13" s="50" t="s">
        <v>19</v>
      </c>
      <c r="E13" s="50" t="s">
        <v>20</v>
      </c>
      <c r="F13" s="50">
        <v>45062</v>
      </c>
      <c r="G13" s="51" t="s">
        <v>47</v>
      </c>
      <c r="H13" s="50" t="s">
        <v>64</v>
      </c>
      <c r="I13" s="50">
        <v>150</v>
      </c>
      <c r="J13" s="50">
        <v>145454.545454545</v>
      </c>
      <c r="K13" s="52">
        <v>8</v>
      </c>
      <c r="L13" s="74">
        <v>41882</v>
      </c>
      <c r="M13" s="42">
        <v>142</v>
      </c>
      <c r="N13" s="70">
        <v>0.28793875000000091</v>
      </c>
      <c r="O13" s="20" t="s">
        <v>50</v>
      </c>
      <c r="P13" s="20" t="s">
        <v>95</v>
      </c>
      <c r="Q13" s="20" t="s">
        <v>71</v>
      </c>
      <c r="R13" s="1"/>
      <c r="S13" s="1"/>
      <c r="T13" s="1"/>
      <c r="U13" s="1"/>
      <c r="V13" s="1"/>
      <c r="W13" s="1"/>
      <c r="X13" s="1"/>
      <c r="Y13" s="56"/>
      <c r="Z13" s="1"/>
    </row>
    <row r="14" spans="1:28" ht="12.75" customHeight="1">
      <c r="A14" s="50" t="s">
        <v>96</v>
      </c>
      <c r="B14" s="51">
        <v>1025</v>
      </c>
      <c r="C14" s="50" t="s">
        <v>97</v>
      </c>
      <c r="D14" s="50" t="s">
        <v>23</v>
      </c>
      <c r="E14" s="50" t="s">
        <v>13</v>
      </c>
      <c r="F14" s="50">
        <v>45932.447971689813</v>
      </c>
      <c r="G14" s="51" t="s">
        <v>47</v>
      </c>
      <c r="H14" s="50" t="s">
        <v>64</v>
      </c>
      <c r="I14" s="50">
        <v>150</v>
      </c>
      <c r="J14" s="50">
        <v>161721.61172161199</v>
      </c>
      <c r="K14" s="52">
        <v>8</v>
      </c>
      <c r="L14" s="74">
        <v>12645</v>
      </c>
      <c r="M14" s="42">
        <v>142</v>
      </c>
      <c r="N14" s="70">
        <v>7.8189920724801687E-2</v>
      </c>
      <c r="O14" s="20" t="s">
        <v>79</v>
      </c>
      <c r="P14" s="20" t="s">
        <v>75</v>
      </c>
      <c r="Q14" s="20" t="s">
        <v>71</v>
      </c>
      <c r="R14" s="95" t="s">
        <v>24</v>
      </c>
      <c r="S14" s="96"/>
      <c r="T14" s="96"/>
      <c r="U14" s="96"/>
      <c r="V14" s="96"/>
      <c r="W14" s="96"/>
      <c r="X14" s="96"/>
      <c r="Y14" s="96"/>
      <c r="Z14" s="96"/>
      <c r="AA14" s="96"/>
      <c r="AB14" s="97"/>
    </row>
    <row r="15" spans="1:28" ht="15.75" customHeight="1">
      <c r="A15" s="50" t="s">
        <v>98</v>
      </c>
      <c r="B15" s="51">
        <v>1060</v>
      </c>
      <c r="C15" s="50" t="s">
        <v>99</v>
      </c>
      <c r="D15" s="50" t="s">
        <v>17</v>
      </c>
      <c r="E15" s="50" t="s">
        <v>18</v>
      </c>
      <c r="F15" s="50">
        <v>45523</v>
      </c>
      <c r="G15" s="51" t="s">
        <v>47</v>
      </c>
      <c r="H15" s="50" t="s">
        <v>54</v>
      </c>
      <c r="I15" s="50">
        <v>150</v>
      </c>
      <c r="J15" s="50">
        <v>165700.45259349101</v>
      </c>
      <c r="K15" s="52">
        <v>8</v>
      </c>
      <c r="L15" s="74">
        <v>41610</v>
      </c>
      <c r="M15" s="42">
        <v>142</v>
      </c>
      <c r="N15" s="70">
        <v>0.25111578965979547</v>
      </c>
      <c r="O15" s="20" t="s">
        <v>49</v>
      </c>
      <c r="P15" s="20" t="s">
        <v>75</v>
      </c>
      <c r="Q15" s="20" t="s">
        <v>71</v>
      </c>
      <c r="R15" s="98"/>
      <c r="S15" s="99"/>
      <c r="T15" s="99"/>
      <c r="U15" s="99"/>
      <c r="V15" s="99"/>
      <c r="W15" s="99"/>
      <c r="X15" s="99"/>
      <c r="Y15" s="99"/>
      <c r="Z15" s="99"/>
      <c r="AA15" s="99"/>
      <c r="AB15" s="100"/>
    </row>
    <row r="16" spans="1:28" ht="18" customHeight="1">
      <c r="A16" s="50" t="s">
        <v>100</v>
      </c>
      <c r="B16" s="51">
        <v>1053</v>
      </c>
      <c r="C16" s="50" t="s">
        <v>101</v>
      </c>
      <c r="D16" s="50" t="s">
        <v>23</v>
      </c>
      <c r="E16" s="50" t="s">
        <v>13</v>
      </c>
      <c r="F16" s="50">
        <v>45706</v>
      </c>
      <c r="G16" s="51" t="s">
        <v>47</v>
      </c>
      <c r="H16" s="50" t="s">
        <v>54</v>
      </c>
      <c r="I16" s="50">
        <v>150</v>
      </c>
      <c r="J16" s="50">
        <v>196666.66666666701</v>
      </c>
      <c r="K16" s="52">
        <v>7</v>
      </c>
      <c r="L16" s="74">
        <v>6787</v>
      </c>
      <c r="M16" s="42">
        <v>143</v>
      </c>
      <c r="N16" s="70">
        <v>3.4510169491525362E-2</v>
      </c>
      <c r="O16" s="20" t="s">
        <v>83</v>
      </c>
      <c r="P16" s="20" t="s">
        <v>92</v>
      </c>
      <c r="Q16" s="20" t="s">
        <v>102</v>
      </c>
      <c r="R16" s="106" t="s">
        <v>25</v>
      </c>
      <c r="S16" s="106" t="s">
        <v>26</v>
      </c>
      <c r="T16" s="88" t="s">
        <v>36</v>
      </c>
      <c r="U16" s="88" t="s">
        <v>27</v>
      </c>
      <c r="V16" s="89" t="s">
        <v>40</v>
      </c>
      <c r="W16" s="89" t="s">
        <v>35</v>
      </c>
      <c r="X16" s="88" t="s">
        <v>38</v>
      </c>
      <c r="Y16" s="94" t="s">
        <v>34</v>
      </c>
      <c r="Z16" s="88" t="s">
        <v>28</v>
      </c>
      <c r="AA16" s="88"/>
      <c r="AB16" s="88" t="s">
        <v>29</v>
      </c>
    </row>
    <row r="17" spans="1:28" ht="19.149999999999999" customHeight="1">
      <c r="A17" s="50" t="s">
        <v>103</v>
      </c>
      <c r="B17" s="51">
        <v>1139</v>
      </c>
      <c r="C17" s="50" t="s">
        <v>104</v>
      </c>
      <c r="D17" s="50" t="s">
        <v>19</v>
      </c>
      <c r="E17" s="50" t="s">
        <v>20</v>
      </c>
      <c r="F17" s="50">
        <v>45974</v>
      </c>
      <c r="G17" s="51" t="s">
        <v>47</v>
      </c>
      <c r="H17" s="50" t="s">
        <v>54</v>
      </c>
      <c r="I17" s="50">
        <v>150</v>
      </c>
      <c r="J17" s="50">
        <v>0</v>
      </c>
      <c r="K17" s="52">
        <v>7</v>
      </c>
      <c r="L17" s="74">
        <v>20326</v>
      </c>
      <c r="M17" s="42">
        <v>143</v>
      </c>
      <c r="N17" s="70" t="e">
        <v>#DIV/0!</v>
      </c>
      <c r="O17" s="20" t="s">
        <v>105</v>
      </c>
      <c r="P17" s="20" t="s">
        <v>106</v>
      </c>
      <c r="Q17" s="20" t="s">
        <v>102</v>
      </c>
      <c r="R17" s="106"/>
      <c r="S17" s="106"/>
      <c r="T17" s="88"/>
      <c r="U17" s="88"/>
      <c r="V17" s="89"/>
      <c r="W17" s="89"/>
      <c r="X17" s="88"/>
      <c r="Y17" s="94"/>
      <c r="Z17" s="88"/>
      <c r="AA17" s="88"/>
      <c r="AB17" s="88"/>
    </row>
    <row r="18" spans="1:28" ht="15.75" customHeight="1">
      <c r="A18" s="50" t="s">
        <v>107</v>
      </c>
      <c r="B18" s="51">
        <v>1065</v>
      </c>
      <c r="C18" s="50" t="s">
        <v>108</v>
      </c>
      <c r="D18" s="50" t="s">
        <v>17</v>
      </c>
      <c r="E18" s="50" t="s">
        <v>18</v>
      </c>
      <c r="F18" s="50">
        <v>45313</v>
      </c>
      <c r="G18" s="51" t="s">
        <v>47</v>
      </c>
      <c r="H18" s="50" t="s">
        <v>54</v>
      </c>
      <c r="I18" s="50">
        <v>150</v>
      </c>
      <c r="J18" s="50">
        <v>226838.99038092501</v>
      </c>
      <c r="K18" s="52">
        <v>7</v>
      </c>
      <c r="L18" s="74">
        <v>20000</v>
      </c>
      <c r="M18" s="42">
        <v>143</v>
      </c>
      <c r="N18" s="70">
        <v>8.8168264046734224E-2</v>
      </c>
      <c r="O18" s="20" t="s">
        <v>55</v>
      </c>
      <c r="P18" s="20" t="s">
        <v>109</v>
      </c>
      <c r="Q18" s="20" t="s">
        <v>110</v>
      </c>
      <c r="R18" s="34" t="s">
        <v>30</v>
      </c>
      <c r="S18" s="34">
        <v>10</v>
      </c>
      <c r="T18" s="35">
        <f t="array" ref="T18">COUNTIF(D3:D1048576,R18)</f>
        <v>3</v>
      </c>
      <c r="U18" s="35">
        <f t="shared" ref="U18:U24" si="0">S18-T18</f>
        <v>7</v>
      </c>
      <c r="V18" s="35">
        <f>SUMIF(D3:D102,R18,J3:J1048576)</f>
        <v>781141.69622296793</v>
      </c>
      <c r="W18" s="35">
        <f>SUMIF(D3:D102,R18,K3:K1048576)</f>
        <v>6</v>
      </c>
      <c r="X18" s="35">
        <f>SUMIF(D3:D102,R18,L3:L1048576)</f>
        <v>202039</v>
      </c>
      <c r="Y18" s="76">
        <f>SUMIF(D3:D102,R18,M3:M1048576)</f>
        <v>219</v>
      </c>
      <c r="Z18" s="105"/>
      <c r="AA18" s="105"/>
      <c r="AB18" s="36"/>
    </row>
    <row r="19" spans="1:28" ht="15.75" customHeight="1">
      <c r="A19" s="50" t="s">
        <v>111</v>
      </c>
      <c r="B19" s="51">
        <v>1098</v>
      </c>
      <c r="C19" s="50" t="s">
        <v>112</v>
      </c>
      <c r="D19" s="50" t="s">
        <v>19</v>
      </c>
      <c r="E19" s="50" t="s">
        <v>20</v>
      </c>
      <c r="F19" s="50">
        <v>45852</v>
      </c>
      <c r="G19" s="51" t="s">
        <v>47</v>
      </c>
      <c r="H19" s="50" t="s">
        <v>64</v>
      </c>
      <c r="I19" s="50">
        <v>150</v>
      </c>
      <c r="J19" s="50">
        <v>147435.897435897</v>
      </c>
      <c r="K19" s="52">
        <v>7</v>
      </c>
      <c r="L19" s="74">
        <v>6034</v>
      </c>
      <c r="M19" s="42">
        <v>143</v>
      </c>
      <c r="N19" s="70">
        <v>4.0926260869565335E-2</v>
      </c>
      <c r="O19" s="20" t="s">
        <v>56</v>
      </c>
      <c r="P19" s="20" t="s">
        <v>113</v>
      </c>
      <c r="Q19" s="20" t="s">
        <v>71</v>
      </c>
      <c r="R19" s="34" t="s">
        <v>19</v>
      </c>
      <c r="S19" s="34">
        <v>14</v>
      </c>
      <c r="T19" s="35">
        <f>COUNTIF(D3:D1048576,R19)</f>
        <v>9</v>
      </c>
      <c r="U19" s="35">
        <f t="shared" si="0"/>
        <v>5</v>
      </c>
      <c r="V19" s="35">
        <f>SUMIF(D3:D102,R19,J3:J1048576)</f>
        <v>1239367.0453117932</v>
      </c>
      <c r="W19" s="35">
        <f>SUMIF(D3:D102,R19,K3:K1048576)</f>
        <v>41</v>
      </c>
      <c r="X19" s="35">
        <f>SUMIF(D3:D102,R19,L3:L1048576)</f>
        <v>267884.71000000002</v>
      </c>
      <c r="Y19" s="76">
        <f>SUMIF(D3:D102,R19,M3:M1048576)</f>
        <v>1219</v>
      </c>
      <c r="Z19" s="105"/>
      <c r="AA19" s="105"/>
      <c r="AB19" s="36"/>
    </row>
    <row r="20" spans="1:28" ht="15.75" customHeight="1">
      <c r="A20" s="50" t="s">
        <v>114</v>
      </c>
      <c r="B20" s="51">
        <v>1039</v>
      </c>
      <c r="C20" s="50" t="s">
        <v>115</v>
      </c>
      <c r="D20" s="50" t="s">
        <v>19</v>
      </c>
      <c r="E20" s="50" t="s">
        <v>20</v>
      </c>
      <c r="F20" s="50">
        <v>45709</v>
      </c>
      <c r="G20" s="51" t="s">
        <v>47</v>
      </c>
      <c r="H20" s="50" t="s">
        <v>64</v>
      </c>
      <c r="I20" s="50">
        <v>150</v>
      </c>
      <c r="J20" s="50">
        <v>147435.897435897</v>
      </c>
      <c r="K20" s="52">
        <v>6</v>
      </c>
      <c r="L20" s="74">
        <v>2445</v>
      </c>
      <c r="M20" s="42">
        <v>144</v>
      </c>
      <c r="N20" s="70">
        <v>1.6583478260869613E-2</v>
      </c>
      <c r="O20" s="20" t="s">
        <v>116</v>
      </c>
      <c r="P20" s="20" t="s">
        <v>117</v>
      </c>
      <c r="Q20" s="20" t="s">
        <v>118</v>
      </c>
      <c r="R20" s="34" t="s">
        <v>12</v>
      </c>
      <c r="S20" s="34">
        <v>11</v>
      </c>
      <c r="T20" s="35">
        <f t="array" ref="T20">COUNTIF(D3:D1048576,R20)</f>
        <v>8</v>
      </c>
      <c r="U20" s="35">
        <f t="shared" si="0"/>
        <v>3</v>
      </c>
      <c r="V20" s="35">
        <f>SUMIF(D3:D102,R20,J3:J1048576)</f>
        <v>1475372.9556781</v>
      </c>
      <c r="W20" s="35">
        <f>SUMIF(D3:D102,R20,K3:K1048576)</f>
        <v>46</v>
      </c>
      <c r="X20" s="35">
        <f>SUMIF(D3:D102,R20,L3:L1048576)</f>
        <v>332540.52</v>
      </c>
      <c r="Y20" s="76">
        <f>SUMIF(D3:D102,R20,M3:M1048576)</f>
        <v>1154</v>
      </c>
      <c r="Z20" s="105"/>
      <c r="AA20" s="105"/>
      <c r="AB20" s="36"/>
    </row>
    <row r="21" spans="1:28" ht="15.75" customHeight="1">
      <c r="A21" s="50" t="s">
        <v>119</v>
      </c>
      <c r="B21" s="51">
        <v>1051</v>
      </c>
      <c r="C21" s="50" t="s">
        <v>120</v>
      </c>
      <c r="D21" s="50" t="s">
        <v>23</v>
      </c>
      <c r="E21" s="50" t="s">
        <v>13</v>
      </c>
      <c r="F21" s="50">
        <v>45454</v>
      </c>
      <c r="G21" s="51" t="s">
        <v>47</v>
      </c>
      <c r="H21" s="50" t="s">
        <v>77</v>
      </c>
      <c r="I21" s="50">
        <v>105</v>
      </c>
      <c r="J21" s="50">
        <v>171135.23905999999</v>
      </c>
      <c r="K21" s="52">
        <v>6</v>
      </c>
      <c r="L21" s="74">
        <v>19616</v>
      </c>
      <c r="M21" s="42">
        <v>99</v>
      </c>
      <c r="N21" s="70">
        <v>0.11462279836546482</v>
      </c>
      <c r="O21" s="20" t="s">
        <v>83</v>
      </c>
      <c r="P21" s="20" t="s">
        <v>121</v>
      </c>
      <c r="Q21" s="20" t="s">
        <v>71</v>
      </c>
      <c r="R21" s="34" t="s">
        <v>23</v>
      </c>
      <c r="S21" s="34">
        <v>16</v>
      </c>
      <c r="T21" s="35">
        <f t="array" ref="T21">COUNTIF(D3:D1048576,R21)</f>
        <v>13</v>
      </c>
      <c r="U21" s="35">
        <f t="shared" si="0"/>
        <v>3</v>
      </c>
      <c r="V21" s="35">
        <f>SUMIF(D3:D102,R21,J3:J1048576)</f>
        <v>2223992.089841614</v>
      </c>
      <c r="W21" s="35">
        <f>SUMIF(D3:D102,R21,K3:K1048576)</f>
        <v>108</v>
      </c>
      <c r="X21" s="35">
        <f>SUMIF(D3:D102,R21,L3:L1048576)</f>
        <v>313545.61</v>
      </c>
      <c r="Y21" s="76">
        <f>SUMIF(D3:D102,R21,M3:M1048576)</f>
        <v>1617</v>
      </c>
      <c r="Z21" s="105"/>
      <c r="AA21" s="105"/>
      <c r="AB21" s="36"/>
    </row>
    <row r="22" spans="1:28" ht="15" customHeight="1">
      <c r="A22" s="50" t="s">
        <v>122</v>
      </c>
      <c r="B22" s="51">
        <v>1035</v>
      </c>
      <c r="C22" s="50" t="s">
        <v>123</v>
      </c>
      <c r="D22" s="50" t="s">
        <v>31</v>
      </c>
      <c r="E22" s="50" t="s">
        <v>20</v>
      </c>
      <c r="F22" s="50">
        <v>44686</v>
      </c>
      <c r="G22" s="51" t="s">
        <v>47</v>
      </c>
      <c r="H22" s="50" t="s">
        <v>124</v>
      </c>
      <c r="I22" s="50">
        <v>105</v>
      </c>
      <c r="J22" s="50">
        <v>494248.73456758499</v>
      </c>
      <c r="K22" s="52">
        <v>6</v>
      </c>
      <c r="L22" s="74">
        <v>75000</v>
      </c>
      <c r="M22" s="42">
        <v>99</v>
      </c>
      <c r="N22" s="70">
        <v>0.15174545680044485</v>
      </c>
      <c r="O22" s="20" t="s">
        <v>125</v>
      </c>
      <c r="P22" s="20" t="s">
        <v>126</v>
      </c>
      <c r="Q22" s="20" t="s">
        <v>127</v>
      </c>
      <c r="R22" s="34" t="s">
        <v>17</v>
      </c>
      <c r="S22" s="34">
        <v>21</v>
      </c>
      <c r="T22" s="35">
        <f t="array" ref="T22">COUNTIF(D3:D1048576,R22)</f>
        <v>18</v>
      </c>
      <c r="U22" s="35">
        <f t="shared" si="0"/>
        <v>3</v>
      </c>
      <c r="V22" s="35">
        <f>SUMIF(D3:D102,R22,J3:J1048576)</f>
        <v>3943824.8629096188</v>
      </c>
      <c r="W22" s="35">
        <f>SUMIF(D3:D102,R22,K3:K1048576)</f>
        <v>84</v>
      </c>
      <c r="X22" s="35">
        <f>SUMIF(D3:D102,R22,L3:L1048576)</f>
        <v>322774</v>
      </c>
      <c r="Y22" s="76">
        <f>SUMIF(D3:D102,R22,M3:M1048576)</f>
        <v>2571</v>
      </c>
      <c r="Z22" s="105"/>
      <c r="AA22" s="105"/>
      <c r="AB22" s="36"/>
    </row>
    <row r="23" spans="1:28" ht="15" customHeight="1">
      <c r="A23" s="50" t="s">
        <v>128</v>
      </c>
      <c r="B23" s="51">
        <v>1101</v>
      </c>
      <c r="C23" s="50" t="s">
        <v>129</v>
      </c>
      <c r="D23" s="50" t="s">
        <v>17</v>
      </c>
      <c r="E23" s="50" t="s">
        <v>18</v>
      </c>
      <c r="F23" s="50">
        <v>45860.394594305559</v>
      </c>
      <c r="G23" s="51" t="s">
        <v>47</v>
      </c>
      <c r="H23" s="50" t="s">
        <v>64</v>
      </c>
      <c r="I23" s="50">
        <v>150</v>
      </c>
      <c r="J23" s="50">
        <v>217003.22464418001</v>
      </c>
      <c r="K23" s="52">
        <v>6</v>
      </c>
      <c r="L23" s="74">
        <v>27543</v>
      </c>
      <c r="M23" s="42">
        <v>144</v>
      </c>
      <c r="N23" s="70">
        <v>0.1269243811706588</v>
      </c>
      <c r="O23" s="20" t="s">
        <v>130</v>
      </c>
      <c r="P23" s="20" t="s">
        <v>131</v>
      </c>
      <c r="Q23" s="20" t="s">
        <v>71</v>
      </c>
      <c r="R23" s="34" t="s">
        <v>31</v>
      </c>
      <c r="S23" s="34">
        <v>16</v>
      </c>
      <c r="T23" s="35">
        <f t="array" ref="T23">COUNTIF(D3:D1048576,R23)</f>
        <v>9</v>
      </c>
      <c r="U23" s="35">
        <f t="shared" si="0"/>
        <v>7</v>
      </c>
      <c r="V23" s="35">
        <f>SUMIF(D3:D102,R23,J3:J1048576)</f>
        <v>1966722.0206197072</v>
      </c>
      <c r="W23" s="35">
        <f>SUMIF(D3:D102,R23,K3:K1048576)</f>
        <v>29</v>
      </c>
      <c r="X23" s="35">
        <f>SUMIF(D3:D102,R23,L3:L1048576)</f>
        <v>171413.54</v>
      </c>
      <c r="Y23" s="76">
        <f>SUMIF(D3:D102,R23,M3:M1048576)</f>
        <v>1006</v>
      </c>
      <c r="Z23" s="105"/>
      <c r="AA23" s="105"/>
      <c r="AB23" s="36"/>
    </row>
    <row r="24" spans="1:28" ht="15.75" customHeight="1">
      <c r="A24" s="50" t="s">
        <v>132</v>
      </c>
      <c r="B24" s="51">
        <v>1116</v>
      </c>
      <c r="C24" s="50" t="s">
        <v>133</v>
      </c>
      <c r="D24" s="50" t="s">
        <v>17</v>
      </c>
      <c r="E24" s="50" t="s">
        <v>18</v>
      </c>
      <c r="F24" s="50">
        <v>45908.417964456021</v>
      </c>
      <c r="G24" s="51" t="s">
        <v>47</v>
      </c>
      <c r="H24" s="50" t="s">
        <v>54</v>
      </c>
      <c r="I24" s="50">
        <v>150</v>
      </c>
      <c r="J24" s="50">
        <v>207589.33761152899</v>
      </c>
      <c r="K24" s="52">
        <v>6</v>
      </c>
      <c r="L24" s="74">
        <v>71424</v>
      </c>
      <c r="M24" s="42">
        <v>144</v>
      </c>
      <c r="N24" s="70">
        <v>0.34406391398415104</v>
      </c>
      <c r="O24" s="20" t="s">
        <v>134</v>
      </c>
      <c r="P24" s="20" t="s">
        <v>135</v>
      </c>
      <c r="Q24" s="20" t="s">
        <v>71</v>
      </c>
      <c r="R24" s="34" t="s">
        <v>32</v>
      </c>
      <c r="S24" s="34">
        <v>2</v>
      </c>
      <c r="T24" s="35">
        <f t="array" ref="T24">COUNTIF(D3:D1048576,R24)</f>
        <v>0</v>
      </c>
      <c r="U24" s="35">
        <f t="shared" si="0"/>
        <v>2</v>
      </c>
      <c r="V24" s="35">
        <f>SUMIF(D3:D102,R24,J3:J1048576)</f>
        <v>0</v>
      </c>
      <c r="W24" s="35">
        <f>SUMIF(D3:D102,R24,K3:K1048576)</f>
        <v>0</v>
      </c>
      <c r="X24" s="35">
        <f>SUMIF(D3:D102,R24,L3:L1048576)</f>
        <v>0</v>
      </c>
      <c r="Y24" s="76">
        <f>SUMIF(D3:D102,R24,M3:M1048576)</f>
        <v>0</v>
      </c>
      <c r="Z24" s="105"/>
      <c r="AA24" s="105"/>
      <c r="AB24" s="36"/>
    </row>
    <row r="25" spans="1:28" ht="15.75" customHeight="1">
      <c r="A25" s="50" t="s">
        <v>136</v>
      </c>
      <c r="B25" s="51">
        <v>1107</v>
      </c>
      <c r="C25" s="50" t="s">
        <v>137</v>
      </c>
      <c r="D25" s="50" t="s">
        <v>12</v>
      </c>
      <c r="E25" s="50" t="s">
        <v>13</v>
      </c>
      <c r="F25" s="50">
        <v>45888</v>
      </c>
      <c r="G25" s="51" t="s">
        <v>47</v>
      </c>
      <c r="H25" s="50" t="s">
        <v>64</v>
      </c>
      <c r="I25" s="50">
        <v>150</v>
      </c>
      <c r="J25" s="50">
        <v>164221.61172161199</v>
      </c>
      <c r="K25" s="52">
        <v>6</v>
      </c>
      <c r="L25" s="74">
        <v>6503.52</v>
      </c>
      <c r="M25" s="42">
        <v>144</v>
      </c>
      <c r="N25" s="70">
        <v>3.9602095801037129E-2</v>
      </c>
      <c r="O25" s="20" t="s">
        <v>138</v>
      </c>
      <c r="P25" s="20" t="s">
        <v>75</v>
      </c>
      <c r="Q25" s="20" t="s">
        <v>84</v>
      </c>
      <c r="R25" s="37" t="s">
        <v>22</v>
      </c>
      <c r="S25" s="34">
        <f t="shared" ref="S25:Y25" si="1">SUM(S18:S24)</f>
        <v>90</v>
      </c>
      <c r="T25" s="38">
        <f t="shared" si="1"/>
        <v>60</v>
      </c>
      <c r="U25" s="35">
        <f t="shared" si="1"/>
        <v>30</v>
      </c>
      <c r="V25" s="40">
        <f t="shared" si="1"/>
        <v>11630420.670583801</v>
      </c>
      <c r="W25" s="40">
        <f t="shared" si="1"/>
        <v>314</v>
      </c>
      <c r="X25" s="40">
        <f t="shared" si="1"/>
        <v>1610197.38</v>
      </c>
      <c r="Y25" s="77">
        <f t="shared" si="1"/>
        <v>7786</v>
      </c>
      <c r="Z25" s="103"/>
      <c r="AA25" s="103"/>
      <c r="AB25" s="39"/>
    </row>
    <row r="26" spans="1:28" ht="14.5">
      <c r="A26" s="50" t="s">
        <v>139</v>
      </c>
      <c r="B26" s="51">
        <v>1012</v>
      </c>
      <c r="C26" s="50" t="s">
        <v>94</v>
      </c>
      <c r="D26" s="50" t="s">
        <v>19</v>
      </c>
      <c r="E26" s="50" t="s">
        <v>20</v>
      </c>
      <c r="F26" s="50">
        <v>45449</v>
      </c>
      <c r="G26" s="51" t="s">
        <v>47</v>
      </c>
      <c r="H26" s="50" t="s">
        <v>64</v>
      </c>
      <c r="I26" s="50">
        <v>150</v>
      </c>
      <c r="J26" s="50">
        <v>145454.545454545</v>
      </c>
      <c r="K26" s="52">
        <v>5</v>
      </c>
      <c r="L26" s="74">
        <v>5840</v>
      </c>
      <c r="M26" s="42">
        <v>145</v>
      </c>
      <c r="N26" s="70">
        <v>4.0150000000000123E-2</v>
      </c>
      <c r="O26" s="20" t="s">
        <v>140</v>
      </c>
      <c r="P26" s="20" t="s">
        <v>91</v>
      </c>
      <c r="Q26" s="20" t="s">
        <v>102</v>
      </c>
      <c r="R26" s="7"/>
      <c r="S26" s="4"/>
      <c r="T26" s="1"/>
      <c r="U26" s="1"/>
      <c r="V26" s="1"/>
      <c r="W26" s="1"/>
      <c r="X26" s="1"/>
      <c r="Y26" s="56"/>
      <c r="Z26" s="1"/>
      <c r="AA26" s="1"/>
    </row>
    <row r="27" spans="1:28" ht="14.5">
      <c r="A27" s="50" t="s">
        <v>141</v>
      </c>
      <c r="B27" s="51">
        <v>1121</v>
      </c>
      <c r="C27" s="50" t="s">
        <v>120</v>
      </c>
      <c r="D27" s="50" t="s">
        <v>31</v>
      </c>
      <c r="E27" s="50" t="s">
        <v>20</v>
      </c>
      <c r="F27" s="50">
        <v>44685</v>
      </c>
      <c r="G27" s="51" t="s">
        <v>47</v>
      </c>
      <c r="H27" s="50" t="s">
        <v>64</v>
      </c>
      <c r="I27" s="50">
        <v>150</v>
      </c>
      <c r="J27" s="50">
        <v>228426.10530651</v>
      </c>
      <c r="K27" s="52">
        <v>5</v>
      </c>
      <c r="L27" s="74">
        <v>30511</v>
      </c>
      <c r="M27" s="42">
        <v>145</v>
      </c>
      <c r="N27" s="70">
        <v>0.13357054772290275</v>
      </c>
      <c r="O27" s="20" t="s">
        <v>126</v>
      </c>
      <c r="P27" s="20" t="s">
        <v>113</v>
      </c>
      <c r="Q27" s="20" t="s">
        <v>142</v>
      </c>
      <c r="R27" s="7"/>
      <c r="S27" s="1"/>
      <c r="T27" s="1"/>
      <c r="U27" s="1"/>
      <c r="V27" s="1"/>
      <c r="W27" s="1"/>
      <c r="X27" s="1"/>
      <c r="Y27" s="56"/>
      <c r="Z27" s="1"/>
    </row>
    <row r="28" spans="1:28" ht="14.5">
      <c r="A28" s="50" t="s">
        <v>143</v>
      </c>
      <c r="B28" s="51">
        <v>1045</v>
      </c>
      <c r="C28" s="50" t="s">
        <v>144</v>
      </c>
      <c r="D28" s="50" t="s">
        <v>19</v>
      </c>
      <c r="E28" s="50" t="s">
        <v>20</v>
      </c>
      <c r="F28" s="50">
        <v>45763</v>
      </c>
      <c r="G28" s="51" t="s">
        <v>47</v>
      </c>
      <c r="H28" s="50" t="s">
        <v>54</v>
      </c>
      <c r="I28" s="50">
        <v>150</v>
      </c>
      <c r="J28" s="50">
        <v>147435.897435897</v>
      </c>
      <c r="K28" s="52">
        <v>5</v>
      </c>
      <c r="L28" s="74">
        <v>6418</v>
      </c>
      <c r="M28" s="42">
        <v>145</v>
      </c>
      <c r="N28" s="70">
        <v>4.3530782608695778E-2</v>
      </c>
      <c r="O28" s="20" t="s">
        <v>145</v>
      </c>
      <c r="P28" s="20" t="s">
        <v>75</v>
      </c>
      <c r="Q28" s="20" t="s">
        <v>102</v>
      </c>
      <c r="R28" s="78" t="s">
        <v>42</v>
      </c>
      <c r="S28" s="79"/>
      <c r="T28" s="79"/>
      <c r="U28" s="80"/>
      <c r="V28" s="1"/>
      <c r="Y28"/>
    </row>
    <row r="29" spans="1:28" ht="14.5">
      <c r="A29" s="50" t="s">
        <v>146</v>
      </c>
      <c r="B29" s="51">
        <v>1118</v>
      </c>
      <c r="C29" s="50" t="s">
        <v>147</v>
      </c>
      <c r="D29" s="50" t="s">
        <v>31</v>
      </c>
      <c r="E29" s="50" t="s">
        <v>20</v>
      </c>
      <c r="F29" s="50">
        <v>45917.391251562498</v>
      </c>
      <c r="G29" s="51" t="s">
        <v>47</v>
      </c>
      <c r="H29" s="50" t="s">
        <v>64</v>
      </c>
      <c r="I29" s="50">
        <v>150</v>
      </c>
      <c r="J29" s="50">
        <v>292700.70383779</v>
      </c>
      <c r="K29" s="52">
        <v>5</v>
      </c>
      <c r="L29" s="74">
        <v>12280</v>
      </c>
      <c r="M29" s="42">
        <v>145</v>
      </c>
      <c r="N29" s="70">
        <v>4.1954118452702381E-2</v>
      </c>
      <c r="O29" s="20" t="s">
        <v>83</v>
      </c>
      <c r="P29" s="20" t="s">
        <v>148</v>
      </c>
      <c r="Q29" s="20" t="s">
        <v>149</v>
      </c>
      <c r="R29" s="81"/>
      <c r="S29" s="82"/>
      <c r="T29" s="82"/>
      <c r="U29" s="83"/>
      <c r="V29" s="1"/>
      <c r="Y29"/>
    </row>
    <row r="30" spans="1:28" ht="14.5">
      <c r="A30" s="50" t="s">
        <v>150</v>
      </c>
      <c r="B30" s="51">
        <v>1048</v>
      </c>
      <c r="C30" s="50" t="s">
        <v>151</v>
      </c>
      <c r="D30" s="50" t="s">
        <v>23</v>
      </c>
      <c r="E30" s="50" t="s">
        <v>13</v>
      </c>
      <c r="F30" s="50">
        <v>45635</v>
      </c>
      <c r="G30" s="51" t="s">
        <v>47</v>
      </c>
      <c r="H30" s="50" t="s">
        <v>54</v>
      </c>
      <c r="I30" s="50">
        <v>150</v>
      </c>
      <c r="J30" s="50">
        <v>196666.66666666701</v>
      </c>
      <c r="K30" s="52">
        <v>4</v>
      </c>
      <c r="L30" s="74">
        <v>5661</v>
      </c>
      <c r="M30" s="42">
        <v>146</v>
      </c>
      <c r="N30" s="70">
        <v>2.8784745762711814E-2</v>
      </c>
      <c r="O30" s="20" t="s">
        <v>55</v>
      </c>
      <c r="P30" s="20" t="s">
        <v>152</v>
      </c>
      <c r="Q30" s="20" t="s">
        <v>51</v>
      </c>
      <c r="R30" s="86" t="s">
        <v>43</v>
      </c>
      <c r="S30" s="86" t="s">
        <v>44</v>
      </c>
      <c r="T30" s="86" t="s">
        <v>15</v>
      </c>
      <c r="U30" s="84" t="s">
        <v>38</v>
      </c>
      <c r="V30" s="1"/>
      <c r="Y30"/>
    </row>
    <row r="31" spans="1:28" ht="14.5">
      <c r="A31" s="50" t="s">
        <v>153</v>
      </c>
      <c r="B31" s="51">
        <v>1050</v>
      </c>
      <c r="C31" s="50" t="s">
        <v>120</v>
      </c>
      <c r="D31" s="50" t="s">
        <v>23</v>
      </c>
      <c r="E31" s="50" t="s">
        <v>13</v>
      </c>
      <c r="F31" s="50">
        <v>45098</v>
      </c>
      <c r="G31" s="51" t="s">
        <v>47</v>
      </c>
      <c r="H31" s="50" t="s">
        <v>77</v>
      </c>
      <c r="I31" s="50">
        <v>105</v>
      </c>
      <c r="J31" s="50">
        <v>216666.66666666701</v>
      </c>
      <c r="K31" s="52">
        <v>4</v>
      </c>
      <c r="L31" s="74">
        <v>4464.79</v>
      </c>
      <c r="M31" s="42">
        <v>101</v>
      </c>
      <c r="N31" s="70">
        <v>2.0606723076923045E-2</v>
      </c>
      <c r="O31" s="20" t="s">
        <v>79</v>
      </c>
      <c r="P31" s="20" t="s">
        <v>154</v>
      </c>
      <c r="Q31" s="20" t="s">
        <v>155</v>
      </c>
      <c r="R31" s="87"/>
      <c r="S31" s="87"/>
      <c r="T31" s="87"/>
      <c r="U31" s="85"/>
      <c r="V31" s="1"/>
      <c r="Y31"/>
    </row>
    <row r="32" spans="1:28" ht="15.5">
      <c r="A32" s="50" t="s">
        <v>156</v>
      </c>
      <c r="B32" s="51">
        <v>1047</v>
      </c>
      <c r="C32" s="50" t="s">
        <v>58</v>
      </c>
      <c r="D32" s="50" t="s">
        <v>23</v>
      </c>
      <c r="E32" s="50" t="s">
        <v>13</v>
      </c>
      <c r="F32" s="50">
        <v>45580</v>
      </c>
      <c r="G32" s="51" t="s">
        <v>47</v>
      </c>
      <c r="H32" s="50" t="s">
        <v>54</v>
      </c>
      <c r="I32" s="50">
        <v>150</v>
      </c>
      <c r="J32" s="50">
        <v>133333.33333333299</v>
      </c>
      <c r="K32" s="52">
        <v>4</v>
      </c>
      <c r="L32" s="74">
        <v>20000</v>
      </c>
      <c r="M32" s="42">
        <v>146</v>
      </c>
      <c r="N32" s="70">
        <v>0.15000000000000038</v>
      </c>
      <c r="O32" s="20" t="s">
        <v>116</v>
      </c>
      <c r="P32" s="20" t="s">
        <v>121</v>
      </c>
      <c r="Q32" s="20" t="s">
        <v>71</v>
      </c>
      <c r="R32" s="63" t="str">
        <f>INDEX($A$3:$A$102,MATCH(LARGE($L$3:$L$1048576,1),$L$3:$L$1048576,0))</f>
        <v>CHRISTOPHER OMONDI</v>
      </c>
      <c r="S32" s="62" t="str">
        <f>VLOOKUP(R32,A2:D102,4,0)</f>
        <v>TEAM MUTHONI</v>
      </c>
      <c r="T32" s="62" t="str">
        <f>VLOOKUP(R32,A2:E102,5,0)</f>
        <v>KISUMU BRANCH</v>
      </c>
      <c r="U32" s="64">
        <f>VLOOKUP(R32,A2:L102,12,0)</f>
        <v>243259</v>
      </c>
      <c r="V32" s="1"/>
      <c r="Y32"/>
    </row>
    <row r="33" spans="1:26" ht="15.5">
      <c r="A33" s="50" t="s">
        <v>157</v>
      </c>
      <c r="B33" s="51">
        <v>1071</v>
      </c>
      <c r="C33" s="50" t="s">
        <v>158</v>
      </c>
      <c r="D33" s="50" t="s">
        <v>17</v>
      </c>
      <c r="E33" s="50" t="s">
        <v>18</v>
      </c>
      <c r="F33" s="50">
        <v>45315</v>
      </c>
      <c r="G33" s="51" t="s">
        <v>47</v>
      </c>
      <c r="H33" s="50" t="s">
        <v>124</v>
      </c>
      <c r="I33" s="50">
        <v>105</v>
      </c>
      <c r="J33" s="50">
        <v>216938.30710254901</v>
      </c>
      <c r="K33" s="52">
        <v>4</v>
      </c>
      <c r="L33" s="74">
        <v>17755</v>
      </c>
      <c r="M33" s="42">
        <v>101</v>
      </c>
      <c r="N33" s="70">
        <v>8.1843544541015639E-2</v>
      </c>
      <c r="O33" s="20" t="s">
        <v>69</v>
      </c>
      <c r="P33" s="20" t="s">
        <v>159</v>
      </c>
      <c r="Q33" s="20" t="s">
        <v>102</v>
      </c>
      <c r="R33" s="63" t="str">
        <f>INDEX($A$3:$A$102,MATCH(LARGE($L$3:$L$1048576,2),$L$3:$L$1048576,0))</f>
        <v>GEORGE NANDWA</v>
      </c>
      <c r="S33" s="62" t="str">
        <f>VLOOKUP(R33,A3:D103,4,0)</f>
        <v>TEAM MUGAMBI</v>
      </c>
      <c r="T33" s="62" t="str">
        <f>VLOOKUP(R33,A3:E103,5,0)</f>
        <v>CAL HQ</v>
      </c>
      <c r="U33" s="64">
        <f>VLOOKUP(R33,A3:L103,12,0)</f>
        <v>183000</v>
      </c>
      <c r="V33" s="1"/>
      <c r="Y33"/>
    </row>
    <row r="34" spans="1:26" ht="15.5">
      <c r="A34" s="50" t="s">
        <v>160</v>
      </c>
      <c r="B34" s="51">
        <v>1019</v>
      </c>
      <c r="C34" s="50" t="s">
        <v>161</v>
      </c>
      <c r="D34" s="50" t="s">
        <v>31</v>
      </c>
      <c r="E34" s="50" t="s">
        <v>20</v>
      </c>
      <c r="F34" s="50">
        <v>45917.386396365742</v>
      </c>
      <c r="G34" s="51" t="s">
        <v>47</v>
      </c>
      <c r="H34" s="50" t="s">
        <v>64</v>
      </c>
      <c r="I34" s="50">
        <v>150</v>
      </c>
      <c r="J34" s="50">
        <v>133749.04688167101</v>
      </c>
      <c r="K34" s="52">
        <v>4</v>
      </c>
      <c r="L34" s="74">
        <v>4205</v>
      </c>
      <c r="M34" s="42">
        <v>146</v>
      </c>
      <c r="N34" s="70">
        <v>3.1439476377878056E-2</v>
      </c>
      <c r="O34" s="20" t="s">
        <v>145</v>
      </c>
      <c r="P34" s="20" t="s">
        <v>79</v>
      </c>
      <c r="Q34" s="20" t="s">
        <v>71</v>
      </c>
      <c r="R34" s="63" t="str">
        <f>INDEX($A$3:$A$102,MATCH(LARGE($L$3:$L$1048576,3),$L$3:$L$1048576,0))</f>
        <v>Joshua Ossome</v>
      </c>
      <c r="S34" s="62" t="str">
        <f>VLOOKUP(R34,A2:D71,4,0)</f>
        <v>TEAM REHEMA</v>
      </c>
      <c r="T34" s="62" t="str">
        <f>VLOOKUP(R34,A2:E71,5,0)</f>
        <v>KISUMU BRANCH</v>
      </c>
      <c r="U34" s="64">
        <f>VLOOKUP(R34,A2:L71,12,0)</f>
        <v>148400</v>
      </c>
      <c r="V34" s="1"/>
      <c r="Y34"/>
    </row>
    <row r="35" spans="1:26" ht="14.5">
      <c r="A35" s="50" t="s">
        <v>162</v>
      </c>
      <c r="B35" s="51">
        <v>1136</v>
      </c>
      <c r="C35" s="50" t="s">
        <v>104</v>
      </c>
      <c r="D35" s="50" t="s">
        <v>12</v>
      </c>
      <c r="E35" s="50" t="s">
        <v>13</v>
      </c>
      <c r="F35" s="50">
        <v>45971</v>
      </c>
      <c r="G35" s="51" t="s">
        <v>47</v>
      </c>
      <c r="H35" s="50" t="s">
        <v>64</v>
      </c>
      <c r="I35" s="50">
        <v>150</v>
      </c>
      <c r="J35" s="50">
        <v>0</v>
      </c>
      <c r="K35" s="52">
        <v>4</v>
      </c>
      <c r="L35" s="74">
        <v>2740</v>
      </c>
      <c r="M35" s="42">
        <v>146</v>
      </c>
      <c r="N35" s="70" t="e">
        <v>#DIV/0!</v>
      </c>
      <c r="O35" s="20" t="s">
        <v>163</v>
      </c>
      <c r="P35" s="20" t="s">
        <v>164</v>
      </c>
      <c r="Q35" s="20" t="s">
        <v>102</v>
      </c>
      <c r="R35" s="1"/>
      <c r="S35" s="1"/>
      <c r="T35" s="1"/>
      <c r="U35" s="56"/>
      <c r="V35" s="1"/>
      <c r="Y35"/>
    </row>
    <row r="36" spans="1:26" ht="14.5">
      <c r="A36" s="50" t="s">
        <v>165</v>
      </c>
      <c r="B36" s="51">
        <v>1028</v>
      </c>
      <c r="C36" s="50" t="s">
        <v>166</v>
      </c>
      <c r="D36" s="50" t="s">
        <v>30</v>
      </c>
      <c r="E36" s="50" t="s">
        <v>20</v>
      </c>
      <c r="F36" s="50">
        <v>44824</v>
      </c>
      <c r="G36" s="51" t="s">
        <v>47</v>
      </c>
      <c r="H36" s="50" t="s">
        <v>48</v>
      </c>
      <c r="I36" s="50">
        <v>60</v>
      </c>
      <c r="J36" s="50">
        <v>366666.66666666698</v>
      </c>
      <c r="K36" s="52">
        <v>3</v>
      </c>
      <c r="L36" s="74">
        <v>68000</v>
      </c>
      <c r="M36" s="42">
        <v>57</v>
      </c>
      <c r="N36" s="70">
        <v>0.18545454545454529</v>
      </c>
      <c r="O36" s="20" t="s">
        <v>82</v>
      </c>
      <c r="P36" s="20" t="s">
        <v>167</v>
      </c>
      <c r="Q36" s="20" t="s">
        <v>118</v>
      </c>
      <c r="R36" s="1"/>
      <c r="S36" s="1"/>
      <c r="T36" s="1"/>
      <c r="U36" s="1"/>
      <c r="V36" s="1"/>
      <c r="W36" s="1"/>
      <c r="X36" s="1"/>
      <c r="Y36" s="56"/>
      <c r="Z36" s="1"/>
    </row>
    <row r="37" spans="1:26" ht="14.5">
      <c r="A37" s="50" t="s">
        <v>168</v>
      </c>
      <c r="B37" s="51">
        <v>1029</v>
      </c>
      <c r="C37" s="50" t="s">
        <v>169</v>
      </c>
      <c r="D37" s="50" t="s">
        <v>17</v>
      </c>
      <c r="E37" s="50" t="s">
        <v>18</v>
      </c>
      <c r="F37" s="50">
        <v>45937.52020979167</v>
      </c>
      <c r="G37" s="51" t="s">
        <v>47</v>
      </c>
      <c r="H37" s="50" t="s">
        <v>54</v>
      </c>
      <c r="I37" s="50">
        <v>150</v>
      </c>
      <c r="J37" s="50">
        <v>209255.17281622201</v>
      </c>
      <c r="K37" s="52">
        <v>3</v>
      </c>
      <c r="L37" s="74">
        <v>21895</v>
      </c>
      <c r="M37" s="42">
        <v>147</v>
      </c>
      <c r="N37" s="70">
        <v>0.10463301673898999</v>
      </c>
      <c r="O37" s="20" t="s">
        <v>116</v>
      </c>
      <c r="P37" s="20" t="s">
        <v>79</v>
      </c>
      <c r="Q37" s="20" t="s">
        <v>118</v>
      </c>
      <c r="R37" s="1"/>
      <c r="S37" s="1"/>
      <c r="T37" s="1"/>
      <c r="U37" s="1"/>
      <c r="V37" s="1"/>
      <c r="W37" s="1"/>
      <c r="X37" s="1"/>
      <c r="Y37" s="56"/>
      <c r="Z37" s="1"/>
    </row>
    <row r="38" spans="1:26" ht="14.5">
      <c r="A38" s="50" t="s">
        <v>170</v>
      </c>
      <c r="B38" s="51">
        <v>1106</v>
      </c>
      <c r="C38" s="50" t="s">
        <v>171</v>
      </c>
      <c r="D38" s="50" t="s">
        <v>12</v>
      </c>
      <c r="E38" s="50" t="s">
        <v>13</v>
      </c>
      <c r="F38" s="50">
        <v>45883</v>
      </c>
      <c r="G38" s="51" t="s">
        <v>47</v>
      </c>
      <c r="H38" s="50" t="s">
        <v>64</v>
      </c>
      <c r="I38" s="50">
        <v>150</v>
      </c>
      <c r="J38" s="50">
        <v>209166.66666666701</v>
      </c>
      <c r="K38" s="52">
        <v>3</v>
      </c>
      <c r="L38" s="74">
        <v>4816</v>
      </c>
      <c r="M38" s="42">
        <v>147</v>
      </c>
      <c r="N38" s="70">
        <v>2.3024701195219086E-2</v>
      </c>
      <c r="O38" s="20" t="s">
        <v>49</v>
      </c>
      <c r="P38" s="20" t="s">
        <v>164</v>
      </c>
      <c r="Q38" s="20" t="s">
        <v>71</v>
      </c>
      <c r="R38" s="1"/>
      <c r="S38" s="1"/>
      <c r="T38" s="1"/>
      <c r="U38" s="1"/>
      <c r="V38" s="1"/>
      <c r="W38" s="1"/>
      <c r="X38" s="1"/>
      <c r="Y38" s="56"/>
      <c r="Z38" s="1"/>
    </row>
    <row r="39" spans="1:26" ht="14.5">
      <c r="A39" s="50" t="s">
        <v>172</v>
      </c>
      <c r="B39" s="51">
        <v>1109</v>
      </c>
      <c r="C39" s="50" t="s">
        <v>173</v>
      </c>
      <c r="D39" s="50" t="s">
        <v>23</v>
      </c>
      <c r="E39" s="50" t="s">
        <v>13</v>
      </c>
      <c r="F39" s="50">
        <v>45896</v>
      </c>
      <c r="G39" s="51" t="s">
        <v>47</v>
      </c>
      <c r="H39" s="50" t="s">
        <v>64</v>
      </c>
      <c r="I39" s="50">
        <v>150</v>
      </c>
      <c r="J39" s="50">
        <v>196666.66666666701</v>
      </c>
      <c r="K39" s="52">
        <v>3</v>
      </c>
      <c r="L39" s="74">
        <v>1117</v>
      </c>
      <c r="M39" s="42">
        <v>147</v>
      </c>
      <c r="N39" s="70">
        <v>5.6796610169491425E-3</v>
      </c>
      <c r="O39" s="20" t="s">
        <v>116</v>
      </c>
      <c r="P39" s="20" t="s">
        <v>174</v>
      </c>
      <c r="Q39" s="20" t="s">
        <v>71</v>
      </c>
      <c r="R39" s="1"/>
      <c r="S39" s="1"/>
      <c r="T39" s="1"/>
      <c r="U39" s="1"/>
      <c r="V39" s="1"/>
      <c r="W39" s="1"/>
      <c r="X39" s="1"/>
      <c r="Y39" s="56"/>
      <c r="Z39" s="1"/>
    </row>
    <row r="40" spans="1:26" ht="14.5">
      <c r="A40" s="50" t="s">
        <v>175</v>
      </c>
      <c r="B40" s="51">
        <v>1062</v>
      </c>
      <c r="C40" s="50" t="s">
        <v>176</v>
      </c>
      <c r="D40" s="50" t="s">
        <v>17</v>
      </c>
      <c r="E40" s="50" t="s">
        <v>18</v>
      </c>
      <c r="F40" s="50">
        <v>45488</v>
      </c>
      <c r="G40" s="51" t="s">
        <v>47</v>
      </c>
      <c r="H40" s="50" t="s">
        <v>54</v>
      </c>
      <c r="I40" s="50">
        <v>150</v>
      </c>
      <c r="J40" s="50">
        <v>259046.50532524401</v>
      </c>
      <c r="K40" s="52">
        <v>3</v>
      </c>
      <c r="L40" s="74">
        <v>2000</v>
      </c>
      <c r="M40" s="42">
        <v>147</v>
      </c>
      <c r="N40" s="70">
        <v>7.720621428530426E-3</v>
      </c>
      <c r="O40" s="20" t="s">
        <v>106</v>
      </c>
      <c r="P40" s="20" t="s">
        <v>177</v>
      </c>
      <c r="Q40" s="20" t="s">
        <v>102</v>
      </c>
      <c r="R40" s="1"/>
      <c r="S40" s="1"/>
      <c r="T40" s="1"/>
      <c r="U40" s="1"/>
      <c r="V40" s="1"/>
      <c r="W40" s="1"/>
      <c r="X40" s="1"/>
      <c r="Y40" s="56"/>
      <c r="Z40" s="1"/>
    </row>
    <row r="41" spans="1:26" ht="14.5">
      <c r="A41" s="50" t="s">
        <v>178</v>
      </c>
      <c r="B41" s="51">
        <v>1017</v>
      </c>
      <c r="C41" s="50" t="s">
        <v>161</v>
      </c>
      <c r="D41" s="50" t="s">
        <v>31</v>
      </c>
      <c r="E41" s="50" t="s">
        <v>20</v>
      </c>
      <c r="F41" s="50">
        <v>45917.380964976852</v>
      </c>
      <c r="G41" s="51" t="s">
        <v>47</v>
      </c>
      <c r="H41" s="50" t="s">
        <v>64</v>
      </c>
      <c r="I41" s="50">
        <v>150</v>
      </c>
      <c r="J41" s="50">
        <v>166240.22157897099</v>
      </c>
      <c r="K41" s="52">
        <v>3</v>
      </c>
      <c r="L41" s="74">
        <v>6825</v>
      </c>
      <c r="M41" s="42">
        <v>147</v>
      </c>
      <c r="N41" s="70">
        <v>4.1055046337013228E-2</v>
      </c>
      <c r="O41" s="20" t="s">
        <v>106</v>
      </c>
      <c r="P41" s="20" t="s">
        <v>117</v>
      </c>
      <c r="Q41" s="20" t="s">
        <v>102</v>
      </c>
      <c r="R41" s="1"/>
      <c r="S41" s="1"/>
      <c r="T41" s="1"/>
      <c r="U41" s="1"/>
      <c r="V41" s="1"/>
      <c r="W41" s="1"/>
      <c r="X41" s="1"/>
      <c r="Y41" s="56"/>
      <c r="Z41" s="1"/>
    </row>
    <row r="42" spans="1:26" ht="14.5">
      <c r="A42" s="50" t="s">
        <v>179</v>
      </c>
      <c r="B42" s="51">
        <v>1090</v>
      </c>
      <c r="C42" s="50" t="s">
        <v>180</v>
      </c>
      <c r="D42" s="50" t="s">
        <v>17</v>
      </c>
      <c r="E42" s="50" t="s">
        <v>18</v>
      </c>
      <c r="F42" s="50">
        <v>45807</v>
      </c>
      <c r="G42" s="51" t="s">
        <v>47</v>
      </c>
      <c r="H42" s="50" t="s">
        <v>64</v>
      </c>
      <c r="I42" s="50">
        <v>150</v>
      </c>
      <c r="J42" s="50">
        <v>216623.556854372</v>
      </c>
      <c r="K42" s="52">
        <v>3</v>
      </c>
      <c r="L42" s="74">
        <v>21500</v>
      </c>
      <c r="M42" s="42">
        <v>147</v>
      </c>
      <c r="N42" s="70">
        <v>9.9250516943795053E-2</v>
      </c>
      <c r="O42" s="20" t="s">
        <v>181</v>
      </c>
      <c r="P42" s="20" t="s">
        <v>79</v>
      </c>
      <c r="Q42" s="20" t="s">
        <v>84</v>
      </c>
      <c r="R42" s="1"/>
      <c r="S42" s="1"/>
      <c r="T42" s="1"/>
      <c r="U42" s="1"/>
      <c r="V42" s="1"/>
      <c r="W42" s="1"/>
      <c r="X42" s="1"/>
      <c r="Y42" s="56"/>
      <c r="Z42" s="1"/>
    </row>
    <row r="43" spans="1:26" ht="14.5">
      <c r="A43" s="50" t="s">
        <v>182</v>
      </c>
      <c r="B43" s="51">
        <v>1016</v>
      </c>
      <c r="C43" s="50" t="s">
        <v>166</v>
      </c>
      <c r="D43" s="50" t="s">
        <v>31</v>
      </c>
      <c r="E43" s="50" t="s">
        <v>20</v>
      </c>
      <c r="F43" s="50">
        <v>44686</v>
      </c>
      <c r="G43" s="51" t="s">
        <v>47</v>
      </c>
      <c r="H43" s="50" t="s">
        <v>48</v>
      </c>
      <c r="I43" s="50">
        <v>60</v>
      </c>
      <c r="J43" s="50">
        <v>266666.66666666698</v>
      </c>
      <c r="K43" s="52">
        <v>2</v>
      </c>
      <c r="L43" s="74">
        <v>23638</v>
      </c>
      <c r="M43" s="42">
        <v>58</v>
      </c>
      <c r="N43" s="70">
        <v>8.8642499999999902E-2</v>
      </c>
      <c r="O43" s="20" t="s">
        <v>177</v>
      </c>
      <c r="P43" s="20" t="s">
        <v>183</v>
      </c>
      <c r="Q43" s="20" t="s">
        <v>184</v>
      </c>
      <c r="R43" s="1"/>
      <c r="S43" s="1"/>
      <c r="T43" s="1"/>
      <c r="U43" s="1"/>
      <c r="V43" s="1"/>
      <c r="W43" s="1"/>
      <c r="X43" s="1"/>
      <c r="Y43" s="56"/>
      <c r="Z43" s="1"/>
    </row>
    <row r="44" spans="1:26" ht="14.5">
      <c r="A44" s="50" t="s">
        <v>185</v>
      </c>
      <c r="B44" s="51">
        <v>1020</v>
      </c>
      <c r="C44" s="50" t="s">
        <v>186</v>
      </c>
      <c r="D44" s="50" t="s">
        <v>30</v>
      </c>
      <c r="E44" s="50" t="s">
        <v>20</v>
      </c>
      <c r="F44" s="50">
        <v>44686</v>
      </c>
      <c r="G44" s="51" t="s">
        <v>47</v>
      </c>
      <c r="H44" s="50" t="s">
        <v>48</v>
      </c>
      <c r="I44" s="50">
        <v>60</v>
      </c>
      <c r="J44" s="50">
        <v>360000</v>
      </c>
      <c r="K44" s="52">
        <v>2</v>
      </c>
      <c r="L44" s="74">
        <v>124039</v>
      </c>
      <c r="M44" s="42">
        <v>58</v>
      </c>
      <c r="N44" s="70">
        <v>0.34455277777777776</v>
      </c>
      <c r="O44" s="20" t="s">
        <v>177</v>
      </c>
      <c r="P44" s="20" t="s">
        <v>116</v>
      </c>
      <c r="Q44" s="20" t="s">
        <v>187</v>
      </c>
      <c r="R44" s="1"/>
      <c r="S44" s="1"/>
      <c r="T44" s="1"/>
      <c r="U44" s="1"/>
      <c r="V44" s="1"/>
      <c r="W44" s="1"/>
      <c r="X44" s="1"/>
      <c r="Y44" s="56"/>
      <c r="Z44" s="1"/>
    </row>
    <row r="45" spans="1:26" ht="14.5">
      <c r="A45" s="50" t="s">
        <v>188</v>
      </c>
      <c r="B45" s="51">
        <v>1032</v>
      </c>
      <c r="C45" s="50" t="s">
        <v>189</v>
      </c>
      <c r="D45" s="50" t="s">
        <v>31</v>
      </c>
      <c r="E45" s="50" t="s">
        <v>20</v>
      </c>
      <c r="F45" s="50">
        <v>44686</v>
      </c>
      <c r="G45" s="51" t="s">
        <v>47</v>
      </c>
      <c r="H45" s="50" t="s">
        <v>48</v>
      </c>
      <c r="I45" s="50">
        <v>60</v>
      </c>
      <c r="J45" s="50">
        <v>146696.02516223601</v>
      </c>
      <c r="K45" s="52">
        <v>2</v>
      </c>
      <c r="L45" s="74">
        <v>18000</v>
      </c>
      <c r="M45" s="42">
        <v>58</v>
      </c>
      <c r="N45" s="70">
        <v>0.12270271113408289</v>
      </c>
      <c r="O45" s="20" t="s">
        <v>190</v>
      </c>
      <c r="P45" s="20" t="s">
        <v>191</v>
      </c>
      <c r="Q45" s="20" t="s">
        <v>118</v>
      </c>
      <c r="R45" s="1"/>
      <c r="S45" s="1"/>
      <c r="T45" s="1"/>
      <c r="U45" s="1"/>
      <c r="V45" s="1"/>
      <c r="W45" s="1"/>
      <c r="X45" s="1"/>
      <c r="Y45" s="56"/>
      <c r="Z45" s="1"/>
    </row>
    <row r="46" spans="1:26" ht="14.5">
      <c r="A46" s="50" t="s">
        <v>192</v>
      </c>
      <c r="B46" s="51">
        <v>1066</v>
      </c>
      <c r="C46" s="50" t="s">
        <v>193</v>
      </c>
      <c r="D46" s="50" t="s">
        <v>17</v>
      </c>
      <c r="E46" s="50" t="s">
        <v>18</v>
      </c>
      <c r="F46" s="50">
        <v>45036</v>
      </c>
      <c r="G46" s="51" t="s">
        <v>47</v>
      </c>
      <c r="H46" s="50" t="s">
        <v>54</v>
      </c>
      <c r="I46" s="50">
        <v>150</v>
      </c>
      <c r="J46" s="50">
        <v>299717.20058336901</v>
      </c>
      <c r="K46" s="52">
        <v>2</v>
      </c>
      <c r="L46" s="74">
        <v>2000</v>
      </c>
      <c r="M46" s="42">
        <v>148</v>
      </c>
      <c r="N46" s="70">
        <v>6.6729570278489308E-3</v>
      </c>
      <c r="O46" s="20" t="s">
        <v>194</v>
      </c>
      <c r="P46" s="20" t="s">
        <v>195</v>
      </c>
      <c r="Q46" s="20" t="s">
        <v>84</v>
      </c>
      <c r="R46" s="1"/>
      <c r="S46" s="1"/>
      <c r="T46" s="1"/>
      <c r="U46" s="1"/>
      <c r="V46" s="1"/>
      <c r="W46" s="1"/>
      <c r="X46" s="1"/>
      <c r="Y46" s="56"/>
      <c r="Z46" s="1"/>
    </row>
    <row r="47" spans="1:26" ht="14.5">
      <c r="A47" s="50" t="s">
        <v>196</v>
      </c>
      <c r="B47" s="51">
        <v>1063</v>
      </c>
      <c r="C47" s="50" t="s">
        <v>197</v>
      </c>
      <c r="D47" s="50" t="s">
        <v>17</v>
      </c>
      <c r="E47" s="50" t="s">
        <v>18</v>
      </c>
      <c r="F47" s="50">
        <v>45509</v>
      </c>
      <c r="G47" s="51" t="s">
        <v>47</v>
      </c>
      <c r="H47" s="50" t="s">
        <v>54</v>
      </c>
      <c r="I47" s="50">
        <v>150</v>
      </c>
      <c r="J47" s="50">
        <v>147673.609510232</v>
      </c>
      <c r="K47" s="52">
        <v>2</v>
      </c>
      <c r="L47" s="74">
        <v>400</v>
      </c>
      <c r="M47" s="42">
        <v>148</v>
      </c>
      <c r="N47" s="70">
        <v>2.7086762579083897E-3</v>
      </c>
      <c r="O47" s="20" t="s">
        <v>145</v>
      </c>
      <c r="P47" s="20" t="s">
        <v>116</v>
      </c>
      <c r="Q47" s="20" t="s">
        <v>102</v>
      </c>
      <c r="R47" s="1"/>
      <c r="S47" s="1"/>
      <c r="T47" s="1"/>
      <c r="U47" s="1"/>
      <c r="V47" s="1"/>
      <c r="W47" s="1"/>
      <c r="X47" s="1"/>
      <c r="Y47" s="56"/>
      <c r="Z47" s="1"/>
    </row>
    <row r="48" spans="1:26" ht="14.5">
      <c r="A48" s="50" t="s">
        <v>198</v>
      </c>
      <c r="B48" s="51">
        <v>1064</v>
      </c>
      <c r="C48" s="50" t="s">
        <v>199</v>
      </c>
      <c r="D48" s="50" t="s">
        <v>17</v>
      </c>
      <c r="E48" s="50" t="s">
        <v>18</v>
      </c>
      <c r="F48" s="50">
        <v>44686</v>
      </c>
      <c r="G48" s="51" t="s">
        <v>47</v>
      </c>
      <c r="H48" s="50" t="s">
        <v>54</v>
      </c>
      <c r="I48" s="50">
        <v>150</v>
      </c>
      <c r="J48" s="50">
        <v>182259.001677469</v>
      </c>
      <c r="K48" s="52">
        <v>2</v>
      </c>
      <c r="L48" s="74">
        <v>6690</v>
      </c>
      <c r="M48" s="42">
        <v>148</v>
      </c>
      <c r="N48" s="70">
        <v>3.6706005949921884E-2</v>
      </c>
      <c r="O48" s="20" t="s">
        <v>82</v>
      </c>
      <c r="P48" s="20" t="s">
        <v>200</v>
      </c>
      <c r="Q48" s="20" t="s">
        <v>51</v>
      </c>
      <c r="R48" s="1"/>
      <c r="S48" s="1"/>
      <c r="T48" s="1"/>
      <c r="U48" s="1"/>
      <c r="V48" s="1"/>
      <c r="W48" s="1"/>
      <c r="X48" s="1"/>
      <c r="Y48" s="56"/>
      <c r="Z48" s="1"/>
    </row>
    <row r="49" spans="1:26" ht="14.5">
      <c r="A49" s="50" t="s">
        <v>201</v>
      </c>
      <c r="B49" s="51">
        <v>1099</v>
      </c>
      <c r="C49" s="50" t="s">
        <v>202</v>
      </c>
      <c r="D49" s="50" t="s">
        <v>12</v>
      </c>
      <c r="E49" s="50" t="s">
        <v>13</v>
      </c>
      <c r="F49" s="50">
        <v>45849</v>
      </c>
      <c r="G49" s="51" t="s">
        <v>47</v>
      </c>
      <c r="H49" s="50" t="s">
        <v>64</v>
      </c>
      <c r="I49" s="50">
        <v>150</v>
      </c>
      <c r="J49" s="50">
        <v>293349.43822981999</v>
      </c>
      <c r="K49" s="52">
        <v>2</v>
      </c>
      <c r="L49" s="74">
        <v>13155</v>
      </c>
      <c r="M49" s="42">
        <v>148</v>
      </c>
      <c r="N49" s="70">
        <v>4.4844128829365351E-2</v>
      </c>
      <c r="O49" s="20" t="s">
        <v>83</v>
      </c>
      <c r="P49" s="20" t="s">
        <v>117</v>
      </c>
      <c r="Q49" s="20" t="s">
        <v>71</v>
      </c>
      <c r="R49" s="1"/>
      <c r="S49" s="1"/>
      <c r="T49" s="1"/>
      <c r="U49" s="1"/>
      <c r="V49" s="1"/>
      <c r="W49" s="1"/>
      <c r="X49" s="1"/>
      <c r="Y49" s="56"/>
      <c r="Z49" s="1"/>
    </row>
    <row r="50" spans="1:26" ht="14.5">
      <c r="A50" s="50" t="s">
        <v>203</v>
      </c>
      <c r="B50" s="51">
        <v>1061</v>
      </c>
      <c r="C50" s="50" t="s">
        <v>158</v>
      </c>
      <c r="D50" s="50" t="s">
        <v>17</v>
      </c>
      <c r="E50" s="50" t="s">
        <v>18</v>
      </c>
      <c r="F50" s="50">
        <v>45390</v>
      </c>
      <c r="G50" s="51" t="s">
        <v>47</v>
      </c>
      <c r="H50" s="50" t="s">
        <v>54</v>
      </c>
      <c r="I50" s="50">
        <v>150</v>
      </c>
      <c r="J50" s="50">
        <v>217821.26891814001</v>
      </c>
      <c r="K50" s="52">
        <v>2</v>
      </c>
      <c r="L50" s="74">
        <v>2397</v>
      </c>
      <c r="M50" s="42">
        <v>148</v>
      </c>
      <c r="N50" s="70">
        <v>1.1004435020993394E-2</v>
      </c>
      <c r="O50" s="20" t="s">
        <v>135</v>
      </c>
      <c r="P50" s="20" t="s">
        <v>204</v>
      </c>
      <c r="Q50" s="20" t="s">
        <v>102</v>
      </c>
      <c r="R50" s="1"/>
      <c r="S50" s="1"/>
      <c r="T50" s="1"/>
      <c r="U50" s="1"/>
      <c r="V50" s="1"/>
      <c r="W50" s="1"/>
      <c r="X50" s="1"/>
      <c r="Y50" s="56"/>
      <c r="Z50" s="1"/>
    </row>
    <row r="51" spans="1:26" ht="14.5">
      <c r="A51" s="50" t="s">
        <v>205</v>
      </c>
      <c r="B51" s="51">
        <v>1068</v>
      </c>
      <c r="C51" s="50" t="s">
        <v>206</v>
      </c>
      <c r="D51" s="50" t="s">
        <v>17</v>
      </c>
      <c r="E51" s="50" t="s">
        <v>18</v>
      </c>
      <c r="F51" s="50">
        <v>45170</v>
      </c>
      <c r="G51" s="51" t="s">
        <v>47</v>
      </c>
      <c r="H51" s="50" t="s">
        <v>54</v>
      </c>
      <c r="I51" s="50">
        <v>150</v>
      </c>
      <c r="J51" s="50">
        <v>168558.86776886499</v>
      </c>
      <c r="K51" s="52">
        <v>2</v>
      </c>
      <c r="L51" s="74">
        <v>3900</v>
      </c>
      <c r="M51" s="42">
        <v>148</v>
      </c>
      <c r="N51" s="70">
        <v>2.3137317256709651E-2</v>
      </c>
      <c r="O51" s="20" t="s">
        <v>164</v>
      </c>
      <c r="P51" s="20" t="s">
        <v>109</v>
      </c>
      <c r="Q51" s="20" t="s">
        <v>102</v>
      </c>
      <c r="R51" s="1"/>
      <c r="S51" s="1"/>
      <c r="T51" s="1"/>
      <c r="U51" s="1"/>
      <c r="V51" s="1"/>
      <c r="W51" s="1"/>
      <c r="X51" s="1"/>
      <c r="Y51" s="56"/>
      <c r="Z51" s="1"/>
    </row>
    <row r="52" spans="1:26" ht="14.5">
      <c r="A52" s="50" t="s">
        <v>207</v>
      </c>
      <c r="B52" s="51">
        <v>1113</v>
      </c>
      <c r="C52" s="50" t="s">
        <v>208</v>
      </c>
      <c r="D52" s="50" t="s">
        <v>17</v>
      </c>
      <c r="E52" s="50" t="s">
        <v>18</v>
      </c>
      <c r="F52" s="50">
        <v>45904.532826192131</v>
      </c>
      <c r="G52" s="51" t="s">
        <v>47</v>
      </c>
      <c r="H52" s="50" t="s">
        <v>64</v>
      </c>
      <c r="I52" s="50">
        <v>150</v>
      </c>
      <c r="J52" s="50">
        <v>301105.79880480003</v>
      </c>
      <c r="K52" s="52">
        <v>2</v>
      </c>
      <c r="L52" s="74">
        <v>8145</v>
      </c>
      <c r="M52" s="42">
        <v>148</v>
      </c>
      <c r="N52" s="70">
        <v>2.7050292728770117E-2</v>
      </c>
      <c r="O52" s="20" t="s">
        <v>131</v>
      </c>
      <c r="P52" s="20" t="s">
        <v>167</v>
      </c>
      <c r="Q52" s="20" t="s">
        <v>71</v>
      </c>
      <c r="R52" s="1"/>
      <c r="S52" s="1"/>
      <c r="T52" s="1"/>
      <c r="U52" s="1"/>
      <c r="V52" s="1"/>
      <c r="W52" s="1"/>
      <c r="X52" s="1"/>
      <c r="Y52" s="56"/>
      <c r="Z52" s="1"/>
    </row>
    <row r="53" spans="1:26" ht="14.5">
      <c r="A53" s="50" t="s">
        <v>209</v>
      </c>
      <c r="B53" s="51">
        <v>1127</v>
      </c>
      <c r="C53" s="50" t="s">
        <v>129</v>
      </c>
      <c r="D53" s="50" t="s">
        <v>12</v>
      </c>
      <c r="E53" s="50" t="s">
        <v>13</v>
      </c>
      <c r="F53" s="50">
        <v>45943.452219027778</v>
      </c>
      <c r="G53" s="51" t="s">
        <v>47</v>
      </c>
      <c r="H53" s="50" t="s">
        <v>54</v>
      </c>
      <c r="I53" s="50">
        <v>150</v>
      </c>
      <c r="J53" s="50">
        <v>206666.66666666701</v>
      </c>
      <c r="K53" s="52">
        <v>2</v>
      </c>
      <c r="L53" s="74">
        <v>6111</v>
      </c>
      <c r="M53" s="42">
        <v>148</v>
      </c>
      <c r="N53" s="70">
        <v>2.9569354838709629E-2</v>
      </c>
      <c r="O53" s="20" t="s">
        <v>55</v>
      </c>
      <c r="P53" s="20" t="s">
        <v>152</v>
      </c>
      <c r="Q53" s="20" t="s">
        <v>51</v>
      </c>
      <c r="R53" s="1"/>
      <c r="S53" s="1"/>
      <c r="T53" s="1"/>
      <c r="U53" s="1"/>
      <c r="V53" s="1"/>
      <c r="W53" s="1"/>
      <c r="X53" s="1"/>
      <c r="Y53" s="56"/>
      <c r="Z53" s="1"/>
    </row>
    <row r="54" spans="1:26" ht="14.5">
      <c r="A54" s="50" t="s">
        <v>210</v>
      </c>
      <c r="B54" s="51">
        <v>1036</v>
      </c>
      <c r="C54" s="50" t="s">
        <v>166</v>
      </c>
      <c r="D54" s="50" t="s">
        <v>30</v>
      </c>
      <c r="E54" s="50" t="s">
        <v>20</v>
      </c>
      <c r="F54" s="50">
        <v>44686</v>
      </c>
      <c r="G54" s="51" t="s">
        <v>47</v>
      </c>
      <c r="H54" s="50" t="s">
        <v>77</v>
      </c>
      <c r="I54" s="50">
        <v>105</v>
      </c>
      <c r="J54" s="50">
        <v>54475.029556301</v>
      </c>
      <c r="K54" s="52">
        <v>1</v>
      </c>
      <c r="L54" s="74">
        <v>10000</v>
      </c>
      <c r="M54" s="42">
        <v>104</v>
      </c>
      <c r="N54" s="70">
        <v>0.18357034555924023</v>
      </c>
      <c r="O54" s="20" t="s">
        <v>211</v>
      </c>
      <c r="P54" s="20" t="s">
        <v>212</v>
      </c>
      <c r="Q54" s="20" t="s">
        <v>149</v>
      </c>
      <c r="R54" s="1"/>
      <c r="S54" s="1"/>
      <c r="T54" s="1"/>
      <c r="U54" s="1"/>
      <c r="V54" s="1"/>
      <c r="W54" s="1"/>
      <c r="X54" s="1"/>
      <c r="Y54" s="56"/>
      <c r="Z54" s="1"/>
    </row>
    <row r="55" spans="1:26" ht="14.5">
      <c r="A55" s="50" t="s">
        <v>213</v>
      </c>
      <c r="B55" s="51">
        <v>1003</v>
      </c>
      <c r="C55" s="50" t="s">
        <v>214</v>
      </c>
      <c r="D55" s="50" t="s">
        <v>19</v>
      </c>
      <c r="E55" s="50" t="s">
        <v>20</v>
      </c>
      <c r="F55" s="50">
        <v>44963</v>
      </c>
      <c r="G55" s="51" t="s">
        <v>47</v>
      </c>
      <c r="H55" s="50" t="s">
        <v>124</v>
      </c>
      <c r="I55" s="50">
        <v>105</v>
      </c>
      <c r="J55" s="50">
        <v>280418.99356681702</v>
      </c>
      <c r="K55" s="52">
        <v>1</v>
      </c>
      <c r="L55" s="74">
        <v>200</v>
      </c>
      <c r="M55" s="42">
        <v>104</v>
      </c>
      <c r="N55" s="70">
        <v>7.1321845020581626E-4</v>
      </c>
      <c r="O55" s="20" t="s">
        <v>215</v>
      </c>
      <c r="P55" s="20" t="s">
        <v>216</v>
      </c>
      <c r="Q55" s="20" t="s">
        <v>51</v>
      </c>
      <c r="R55" s="1"/>
      <c r="S55" s="1"/>
      <c r="T55" s="1"/>
      <c r="U55" s="1"/>
      <c r="V55" s="1"/>
      <c r="W55" s="1"/>
      <c r="X55" s="1"/>
      <c r="Y55" s="56"/>
      <c r="Z55" s="1"/>
    </row>
    <row r="56" spans="1:26" ht="14.5">
      <c r="A56" s="50" t="s">
        <v>217</v>
      </c>
      <c r="B56" s="51">
        <v>1058</v>
      </c>
      <c r="C56" s="50" t="s">
        <v>218</v>
      </c>
      <c r="D56" s="50" t="s">
        <v>17</v>
      </c>
      <c r="E56" s="50" t="s">
        <v>18</v>
      </c>
      <c r="F56" s="50">
        <v>45594</v>
      </c>
      <c r="G56" s="51" t="s">
        <v>47</v>
      </c>
      <c r="H56" s="50" t="s">
        <v>54</v>
      </c>
      <c r="I56" s="50">
        <v>150</v>
      </c>
      <c r="J56" s="50">
        <v>290682.221179799</v>
      </c>
      <c r="K56" s="52">
        <v>1</v>
      </c>
      <c r="L56" s="74">
        <v>3000</v>
      </c>
      <c r="M56" s="42">
        <v>149</v>
      </c>
      <c r="N56" s="70">
        <v>1.0320548631504972E-2</v>
      </c>
      <c r="O56" s="20" t="s">
        <v>181</v>
      </c>
      <c r="P56" s="20" t="s">
        <v>219</v>
      </c>
      <c r="Q56" s="20" t="s">
        <v>51</v>
      </c>
      <c r="R56" s="1"/>
      <c r="S56" s="1"/>
      <c r="T56" s="1"/>
      <c r="U56" s="1"/>
      <c r="V56" s="1"/>
      <c r="W56" s="1"/>
      <c r="X56" s="1"/>
      <c r="Y56" s="56"/>
      <c r="Z56" s="1"/>
    </row>
    <row r="57" spans="1:26" ht="14.5">
      <c r="A57" s="50" t="s">
        <v>220</v>
      </c>
      <c r="B57" s="51">
        <v>1040</v>
      </c>
      <c r="C57" s="50" t="s">
        <v>221</v>
      </c>
      <c r="D57" s="50" t="s">
        <v>31</v>
      </c>
      <c r="E57" s="50" t="s">
        <v>20</v>
      </c>
      <c r="F57" s="50">
        <v>45734</v>
      </c>
      <c r="G57" s="51" t="s">
        <v>47</v>
      </c>
      <c r="H57" s="50" t="s">
        <v>64</v>
      </c>
      <c r="I57" s="50">
        <v>150</v>
      </c>
      <c r="J57" s="50">
        <v>147435.897435897</v>
      </c>
      <c r="K57" s="52">
        <v>1</v>
      </c>
      <c r="L57" s="74">
        <v>454.54</v>
      </c>
      <c r="M57" s="42">
        <v>149</v>
      </c>
      <c r="N57" s="70">
        <v>3.0829669565217484E-3</v>
      </c>
      <c r="O57" s="20" t="s">
        <v>140</v>
      </c>
      <c r="P57" s="20" t="s">
        <v>145</v>
      </c>
      <c r="Q57" s="20" t="s">
        <v>84</v>
      </c>
      <c r="R57" s="1"/>
      <c r="S57" s="1"/>
      <c r="T57" s="1"/>
      <c r="U57" s="1"/>
      <c r="V57" s="1"/>
      <c r="W57" s="1"/>
      <c r="X57" s="1"/>
      <c r="Y57" s="56"/>
      <c r="Z57" s="1"/>
    </row>
    <row r="58" spans="1:26" ht="14.5">
      <c r="A58" s="50" t="s">
        <v>222</v>
      </c>
      <c r="B58" s="51">
        <v>1018</v>
      </c>
      <c r="C58" s="50" t="s">
        <v>94</v>
      </c>
      <c r="D58" s="50" t="s">
        <v>19</v>
      </c>
      <c r="E58" s="50" t="s">
        <v>20</v>
      </c>
      <c r="F58" s="50">
        <v>44686</v>
      </c>
      <c r="G58" s="51" t="s">
        <v>47</v>
      </c>
      <c r="H58" s="50" t="s">
        <v>54</v>
      </c>
      <c r="I58" s="50">
        <v>150</v>
      </c>
      <c r="J58" s="50">
        <v>145454.545454545</v>
      </c>
      <c r="K58" s="52">
        <v>1</v>
      </c>
      <c r="L58" s="74">
        <v>1739.71</v>
      </c>
      <c r="M58" s="42">
        <v>149</v>
      </c>
      <c r="N58" s="70">
        <v>1.1960506250000037E-2</v>
      </c>
      <c r="O58" s="20" t="s">
        <v>223</v>
      </c>
      <c r="P58" s="20" t="s">
        <v>83</v>
      </c>
      <c r="Q58" s="20" t="s">
        <v>71</v>
      </c>
      <c r="R58" s="1"/>
      <c r="S58" s="1"/>
      <c r="T58" s="1"/>
      <c r="U58" s="1"/>
      <c r="V58" s="1"/>
      <c r="W58" s="1"/>
      <c r="X58" s="1"/>
      <c r="Y58" s="56"/>
      <c r="Z58" s="1"/>
    </row>
    <row r="59" spans="1:26" ht="14.5">
      <c r="A59" s="50" t="s">
        <v>224</v>
      </c>
      <c r="B59" s="51">
        <v>1030</v>
      </c>
      <c r="C59" s="50" t="s">
        <v>225</v>
      </c>
      <c r="D59" s="50" t="s">
        <v>19</v>
      </c>
      <c r="E59" s="50" t="s">
        <v>20</v>
      </c>
      <c r="F59" s="50">
        <v>44964</v>
      </c>
      <c r="G59" s="51" t="s">
        <v>47</v>
      </c>
      <c r="H59" s="50" t="s">
        <v>124</v>
      </c>
      <c r="I59" s="50">
        <v>105</v>
      </c>
      <c r="J59" s="50">
        <v>80276.723073650195</v>
      </c>
      <c r="K59" s="52">
        <v>1</v>
      </c>
      <c r="L59" s="74">
        <v>183000</v>
      </c>
      <c r="M59" s="42">
        <v>104</v>
      </c>
      <c r="N59" s="70">
        <v>2.2796147250817143</v>
      </c>
      <c r="O59" s="20" t="s">
        <v>117</v>
      </c>
      <c r="P59" s="20" t="s">
        <v>109</v>
      </c>
      <c r="Q59" s="20" t="s">
        <v>226</v>
      </c>
      <c r="R59" s="1"/>
      <c r="S59" s="1"/>
      <c r="T59" s="1"/>
      <c r="U59" s="1"/>
      <c r="V59" s="1"/>
      <c r="W59" s="1"/>
      <c r="X59" s="1"/>
      <c r="Y59" s="56"/>
      <c r="Z59" s="1"/>
    </row>
    <row r="60" spans="1:26" ht="14.5">
      <c r="A60" s="50" t="s">
        <v>227</v>
      </c>
      <c r="B60" s="51">
        <v>1091</v>
      </c>
      <c r="C60" s="50" t="s">
        <v>189</v>
      </c>
      <c r="D60" s="50" t="s">
        <v>31</v>
      </c>
      <c r="E60" s="50" t="s">
        <v>20</v>
      </c>
      <c r="F60" s="50">
        <v>45813</v>
      </c>
      <c r="G60" s="51" t="s">
        <v>47</v>
      </c>
      <c r="H60" s="50" t="s">
        <v>48</v>
      </c>
      <c r="I60" s="50">
        <v>60</v>
      </c>
      <c r="J60" s="50">
        <v>90558.619182380004</v>
      </c>
      <c r="K60" s="52">
        <v>1</v>
      </c>
      <c r="L60" s="74">
        <v>500</v>
      </c>
      <c r="M60" s="42">
        <v>59</v>
      </c>
      <c r="N60" s="70">
        <v>5.5212855994748317E-3</v>
      </c>
      <c r="O60" s="20" t="s">
        <v>135</v>
      </c>
      <c r="P60" s="20" t="s">
        <v>177</v>
      </c>
      <c r="Q60" s="20" t="s">
        <v>51</v>
      </c>
      <c r="R60" s="1"/>
      <c r="S60" s="1"/>
      <c r="T60" s="1"/>
      <c r="U60" s="1"/>
      <c r="V60" s="1"/>
      <c r="W60" s="1"/>
      <c r="X60" s="1"/>
      <c r="Y60" s="56"/>
      <c r="Z60" s="1"/>
    </row>
    <row r="61" spans="1:26" ht="14.5">
      <c r="A61" s="50" t="s">
        <v>228</v>
      </c>
      <c r="B61" s="51">
        <v>1069</v>
      </c>
      <c r="C61" s="50" t="s">
        <v>206</v>
      </c>
      <c r="D61" s="50" t="s">
        <v>17</v>
      </c>
      <c r="E61" s="50" t="s">
        <v>18</v>
      </c>
      <c r="F61" s="50">
        <v>45324</v>
      </c>
      <c r="G61" s="51" t="s">
        <v>47</v>
      </c>
      <c r="H61" s="50" t="s">
        <v>54</v>
      </c>
      <c r="I61" s="50">
        <v>150</v>
      </c>
      <c r="J61" s="50">
        <v>169406.10331662599</v>
      </c>
      <c r="K61" s="52">
        <v>1</v>
      </c>
      <c r="L61" s="74">
        <v>5645</v>
      </c>
      <c r="M61" s="42">
        <v>149</v>
      </c>
      <c r="N61" s="70">
        <v>3.3322294117404352E-2</v>
      </c>
      <c r="O61" s="20" t="s">
        <v>140</v>
      </c>
      <c r="P61" s="20" t="s">
        <v>177</v>
      </c>
      <c r="Q61" s="20" t="s">
        <v>71</v>
      </c>
      <c r="R61" s="1"/>
      <c r="S61" s="1"/>
      <c r="T61" s="1"/>
      <c r="U61" s="1"/>
      <c r="V61" s="1"/>
      <c r="W61" s="1"/>
      <c r="X61" s="1"/>
      <c r="Y61" s="56"/>
      <c r="Z61" s="1"/>
    </row>
    <row r="62" spans="1:26" ht="14.5">
      <c r="A62" s="50" t="s">
        <v>229</v>
      </c>
      <c r="B62" s="51">
        <v>1092</v>
      </c>
      <c r="C62" s="50" t="s">
        <v>230</v>
      </c>
      <c r="D62" s="50" t="s">
        <v>12</v>
      </c>
      <c r="E62" s="50" t="s">
        <v>13</v>
      </c>
      <c r="F62" s="50">
        <v>45819.367432094907</v>
      </c>
      <c r="G62" s="51" t="s">
        <v>47</v>
      </c>
      <c r="H62" s="50" t="s">
        <v>64</v>
      </c>
      <c r="I62" s="50">
        <v>150</v>
      </c>
      <c r="J62" s="50">
        <v>209166.66666666701</v>
      </c>
      <c r="K62" s="52">
        <v>1</v>
      </c>
      <c r="L62" s="74">
        <v>2000</v>
      </c>
      <c r="M62" s="42">
        <v>149</v>
      </c>
      <c r="N62" s="70">
        <v>9.5617529880477926E-3</v>
      </c>
      <c r="O62" s="20" t="s">
        <v>55</v>
      </c>
      <c r="P62" s="20" t="s">
        <v>183</v>
      </c>
      <c r="Q62" s="20" t="s">
        <v>231</v>
      </c>
      <c r="R62" s="1"/>
      <c r="S62" s="1"/>
      <c r="T62" s="1"/>
      <c r="U62" s="1"/>
      <c r="V62" s="1"/>
      <c r="W62" s="1"/>
      <c r="X62" s="1"/>
      <c r="Y62" s="56"/>
      <c r="Z62" s="1"/>
    </row>
    <row r="63" spans="1:26" ht="14.5">
      <c r="A63" s="50"/>
      <c r="B63" s="51"/>
      <c r="C63" s="50"/>
      <c r="D63" s="50"/>
      <c r="E63" s="50"/>
      <c r="F63" s="50"/>
      <c r="G63" s="51"/>
      <c r="H63" s="50"/>
      <c r="I63" s="50"/>
      <c r="J63" s="50"/>
      <c r="K63" s="52"/>
      <c r="L63" s="74"/>
      <c r="M63" s="42"/>
      <c r="N63" s="70"/>
      <c r="O63" s="20"/>
      <c r="P63" s="20"/>
      <c r="Q63" s="20"/>
      <c r="R63" s="1"/>
      <c r="S63" s="1"/>
      <c r="T63" s="1"/>
      <c r="U63" s="1"/>
      <c r="V63" s="1"/>
      <c r="W63" s="1"/>
      <c r="X63" s="1"/>
      <c r="Y63" s="56"/>
      <c r="Z63" s="1"/>
    </row>
    <row r="64" spans="1:26" ht="14.5">
      <c r="A64" s="50"/>
      <c r="B64" s="51"/>
      <c r="C64" s="50"/>
      <c r="D64" s="50"/>
      <c r="E64" s="50"/>
      <c r="F64" s="50"/>
      <c r="G64" s="51"/>
      <c r="H64" s="50"/>
      <c r="I64" s="50"/>
      <c r="J64" s="50"/>
      <c r="K64" s="52"/>
      <c r="L64" s="74"/>
      <c r="M64" s="42"/>
      <c r="N64" s="70"/>
      <c r="O64" s="20"/>
      <c r="P64" s="20"/>
      <c r="Q64" s="20"/>
      <c r="R64" s="1"/>
      <c r="S64" s="1"/>
      <c r="T64" s="1"/>
      <c r="U64" s="1"/>
      <c r="V64" s="1"/>
      <c r="W64" s="1"/>
      <c r="X64" s="1"/>
      <c r="Y64" s="56"/>
      <c r="Z64" s="1"/>
    </row>
    <row r="65" spans="1:26" ht="14.5">
      <c r="A65" s="50"/>
      <c r="B65" s="51"/>
      <c r="C65" s="50"/>
      <c r="D65" s="50"/>
      <c r="E65" s="50"/>
      <c r="F65" s="50"/>
      <c r="G65" s="51"/>
      <c r="H65" s="50"/>
      <c r="I65" s="50"/>
      <c r="J65" s="50"/>
      <c r="K65" s="52"/>
      <c r="L65" s="74"/>
      <c r="M65" s="42"/>
      <c r="N65" s="70"/>
      <c r="O65" s="20"/>
      <c r="P65" s="20"/>
      <c r="Q65" s="20"/>
      <c r="R65" s="1"/>
      <c r="S65" s="1"/>
      <c r="T65" s="1"/>
      <c r="U65" s="1"/>
      <c r="V65" s="1"/>
      <c r="W65" s="1"/>
      <c r="X65" s="1"/>
      <c r="Y65" s="56"/>
      <c r="Z65" s="1"/>
    </row>
    <row r="66" spans="1:26" ht="14.5">
      <c r="A66" s="50"/>
      <c r="B66" s="51"/>
      <c r="C66" s="50"/>
      <c r="D66" s="50"/>
      <c r="E66" s="50"/>
      <c r="F66" s="50"/>
      <c r="G66" s="51"/>
      <c r="H66" s="50"/>
      <c r="I66" s="50"/>
      <c r="J66" s="50"/>
      <c r="K66" s="52"/>
      <c r="L66" s="74"/>
      <c r="M66" s="42"/>
      <c r="N66" s="70"/>
      <c r="O66" s="20"/>
      <c r="P66" s="20"/>
      <c r="Q66" s="20"/>
      <c r="R66" s="1"/>
      <c r="S66" s="1"/>
      <c r="T66" s="1"/>
      <c r="U66" s="1"/>
      <c r="V66" s="1"/>
      <c r="W66" s="1"/>
      <c r="X66" s="1"/>
      <c r="Y66" s="56"/>
      <c r="Z66" s="1"/>
    </row>
    <row r="67" spans="1:26" ht="14.5">
      <c r="A67" s="50"/>
      <c r="B67" s="51"/>
      <c r="C67" s="50"/>
      <c r="D67" s="50"/>
      <c r="E67" s="50"/>
      <c r="F67" s="50"/>
      <c r="G67" s="51"/>
      <c r="H67" s="50"/>
      <c r="I67" s="50"/>
      <c r="J67" s="50"/>
      <c r="K67" s="52"/>
      <c r="L67" s="74"/>
      <c r="M67" s="42"/>
      <c r="N67" s="70"/>
      <c r="O67" s="20"/>
      <c r="P67" s="20"/>
      <c r="Q67" s="20"/>
      <c r="R67" s="1"/>
      <c r="S67" s="1"/>
      <c r="T67" s="1"/>
      <c r="U67" s="1"/>
      <c r="V67" s="1"/>
      <c r="W67" s="1"/>
      <c r="X67" s="1"/>
      <c r="Y67" s="56"/>
      <c r="Z67" s="1"/>
    </row>
    <row r="68" spans="1:26" ht="14.5">
      <c r="A68" s="50"/>
      <c r="B68" s="51"/>
      <c r="C68" s="50"/>
      <c r="D68" s="50"/>
      <c r="E68" s="50"/>
      <c r="F68" s="50"/>
      <c r="G68" s="51"/>
      <c r="H68" s="50"/>
      <c r="I68" s="50"/>
      <c r="J68" s="50"/>
      <c r="K68" s="52"/>
      <c r="L68" s="74"/>
      <c r="M68" s="42"/>
      <c r="N68" s="70"/>
      <c r="O68" s="20"/>
      <c r="P68" s="20"/>
      <c r="Q68" s="20"/>
      <c r="R68" s="1"/>
      <c r="S68" s="1"/>
      <c r="T68" s="1"/>
      <c r="U68" s="1"/>
      <c r="V68" s="1"/>
      <c r="W68" s="1"/>
      <c r="X68" s="1"/>
      <c r="Y68" s="56"/>
      <c r="Z68" s="1"/>
    </row>
    <row r="69" spans="1:26" ht="14.5">
      <c r="A69" s="50"/>
      <c r="B69" s="51"/>
      <c r="C69" s="50"/>
      <c r="D69" s="50"/>
      <c r="E69" s="50"/>
      <c r="F69" s="50"/>
      <c r="G69" s="51"/>
      <c r="H69" s="50"/>
      <c r="I69" s="50"/>
      <c r="J69" s="50"/>
      <c r="K69" s="52"/>
      <c r="L69" s="74"/>
      <c r="M69" s="42"/>
      <c r="N69" s="70"/>
      <c r="O69" s="20"/>
      <c r="P69" s="20"/>
      <c r="Q69" s="20"/>
      <c r="R69" s="1"/>
      <c r="S69" s="1"/>
      <c r="T69" s="1"/>
      <c r="U69" s="1"/>
      <c r="V69" s="1"/>
      <c r="W69" s="1"/>
      <c r="X69" s="1"/>
      <c r="Y69" s="56"/>
      <c r="Z69" s="1"/>
    </row>
    <row r="70" spans="1:26" ht="14.5">
      <c r="A70" s="50"/>
      <c r="B70" s="51"/>
      <c r="C70" s="50"/>
      <c r="D70" s="50"/>
      <c r="E70" s="50"/>
      <c r="F70" s="50"/>
      <c r="G70" s="51"/>
      <c r="H70" s="50"/>
      <c r="I70" s="50"/>
      <c r="J70" s="50"/>
      <c r="K70" s="52"/>
      <c r="L70" s="74"/>
      <c r="M70" s="42"/>
      <c r="N70" s="70"/>
      <c r="O70" s="20"/>
      <c r="P70" s="20"/>
      <c r="Q70" s="20"/>
      <c r="R70" s="1"/>
      <c r="S70" s="1"/>
      <c r="T70" s="1"/>
      <c r="U70" s="1"/>
      <c r="V70" s="1"/>
      <c r="W70" s="1"/>
      <c r="X70" s="1"/>
      <c r="Y70" s="56"/>
      <c r="Z70" s="1"/>
    </row>
    <row r="71" spans="1:26" ht="14.5">
      <c r="A71" s="50"/>
      <c r="B71" s="51"/>
      <c r="C71" s="50"/>
      <c r="D71" s="50"/>
      <c r="E71" s="50"/>
      <c r="F71" s="50"/>
      <c r="G71" s="51"/>
      <c r="H71" s="50"/>
      <c r="I71" s="50"/>
      <c r="J71" s="50"/>
      <c r="K71" s="52"/>
      <c r="L71" s="74"/>
      <c r="M71" s="42"/>
      <c r="N71" s="70"/>
      <c r="O71" s="20"/>
      <c r="P71" s="20"/>
      <c r="Q71" s="20"/>
      <c r="R71" s="1"/>
      <c r="S71" s="1"/>
      <c r="T71" s="1"/>
      <c r="U71" s="1"/>
      <c r="V71" s="1"/>
      <c r="W71" s="1"/>
      <c r="X71" s="1"/>
      <c r="Y71" s="56"/>
      <c r="Z71" s="1"/>
    </row>
    <row r="72" spans="1:26" ht="14.5">
      <c r="A72" s="50"/>
      <c r="B72" s="51"/>
      <c r="C72" s="50"/>
      <c r="D72" s="50"/>
      <c r="E72" s="50"/>
      <c r="F72" s="50"/>
      <c r="G72" s="51"/>
      <c r="H72" s="50"/>
      <c r="I72" s="50"/>
      <c r="J72" s="50"/>
      <c r="K72" s="52"/>
      <c r="L72" s="74"/>
      <c r="M72" s="42"/>
      <c r="N72" s="70"/>
      <c r="O72" s="20"/>
      <c r="P72" s="20"/>
      <c r="Q72" s="20"/>
      <c r="R72" s="1"/>
      <c r="S72" s="1"/>
      <c r="T72" s="1"/>
      <c r="U72" s="1"/>
      <c r="V72" s="1"/>
      <c r="W72" s="1"/>
      <c r="X72" s="1"/>
      <c r="Y72" s="56"/>
      <c r="Z72" s="1"/>
    </row>
    <row r="73" spans="1:26" ht="14.5">
      <c r="A73" s="50"/>
      <c r="B73" s="51"/>
      <c r="C73" s="50"/>
      <c r="D73" s="50"/>
      <c r="E73" s="50"/>
      <c r="F73" s="50"/>
      <c r="G73" s="51"/>
      <c r="H73" s="50"/>
      <c r="I73" s="50"/>
      <c r="J73" s="50"/>
      <c r="K73" s="52"/>
      <c r="L73" s="74"/>
      <c r="M73" s="42"/>
      <c r="N73" s="70"/>
      <c r="O73" s="20"/>
      <c r="P73" s="20"/>
      <c r="Q73" s="20"/>
      <c r="R73" s="1"/>
      <c r="S73" s="1"/>
      <c r="T73" s="1"/>
      <c r="U73" s="1"/>
      <c r="V73" s="1"/>
      <c r="W73" s="1"/>
      <c r="X73" s="1"/>
      <c r="Y73" s="56"/>
      <c r="Z73" s="1"/>
    </row>
    <row r="74" spans="1:26" ht="14.5">
      <c r="A74" s="50"/>
      <c r="B74" s="51"/>
      <c r="C74" s="50"/>
      <c r="D74" s="50"/>
      <c r="E74" s="50"/>
      <c r="F74" s="50"/>
      <c r="G74" s="51"/>
      <c r="H74" s="50"/>
      <c r="I74" s="50"/>
      <c r="J74" s="50"/>
      <c r="K74" s="52"/>
      <c r="L74" s="74"/>
      <c r="M74" s="42"/>
      <c r="N74" s="70"/>
      <c r="O74" s="20"/>
      <c r="P74" s="20"/>
      <c r="Q74" s="20"/>
      <c r="R74" s="1"/>
      <c r="S74" s="1"/>
      <c r="T74" s="1"/>
      <c r="U74" s="1"/>
      <c r="V74" s="1"/>
      <c r="W74" s="1"/>
      <c r="X74" s="1"/>
      <c r="Y74" s="56"/>
      <c r="Z74" s="1"/>
    </row>
    <row r="75" spans="1:26" ht="14.5">
      <c r="A75" s="50"/>
      <c r="B75" s="51"/>
      <c r="C75" s="50"/>
      <c r="D75" s="50"/>
      <c r="E75" s="50"/>
      <c r="F75" s="50"/>
      <c r="G75" s="51"/>
      <c r="H75" s="50"/>
      <c r="I75" s="50"/>
      <c r="J75" s="50"/>
      <c r="K75" s="52"/>
      <c r="L75" s="74"/>
      <c r="M75" s="42"/>
      <c r="N75" s="70"/>
      <c r="O75" s="20"/>
      <c r="P75" s="20"/>
      <c r="Q75" s="20"/>
      <c r="R75" s="1"/>
      <c r="S75" s="1"/>
      <c r="T75" s="1"/>
      <c r="U75" s="1"/>
      <c r="V75" s="1"/>
      <c r="W75" s="1"/>
      <c r="X75" s="1"/>
      <c r="Y75" s="56"/>
      <c r="Z75" s="1"/>
    </row>
    <row r="76" spans="1:26" ht="14.5">
      <c r="A76" s="50"/>
      <c r="B76" s="51"/>
      <c r="C76" s="50"/>
      <c r="D76" s="50"/>
      <c r="E76" s="50"/>
      <c r="F76" s="50"/>
      <c r="G76" s="51"/>
      <c r="H76" s="50"/>
      <c r="I76" s="50"/>
      <c r="J76" s="50"/>
      <c r="K76" s="52"/>
      <c r="L76" s="74"/>
      <c r="M76" s="42"/>
      <c r="N76" s="70"/>
      <c r="O76" s="20"/>
      <c r="P76" s="20"/>
      <c r="Q76" s="20"/>
      <c r="R76" s="1"/>
      <c r="S76" s="1"/>
      <c r="T76" s="1"/>
      <c r="U76" s="1"/>
      <c r="V76" s="1"/>
      <c r="W76" s="1"/>
      <c r="X76" s="1"/>
      <c r="Y76" s="56"/>
      <c r="Z76" s="1"/>
    </row>
    <row r="77" spans="1:26" ht="14.5">
      <c r="A77" s="50"/>
      <c r="B77" s="51"/>
      <c r="C77" s="50"/>
      <c r="D77" s="50"/>
      <c r="E77" s="50"/>
      <c r="F77" s="50"/>
      <c r="G77" s="51"/>
      <c r="H77" s="50"/>
      <c r="I77" s="50"/>
      <c r="J77" s="50"/>
      <c r="K77" s="52"/>
      <c r="L77" s="74"/>
      <c r="M77" s="42"/>
      <c r="N77" s="70"/>
      <c r="O77" s="20"/>
      <c r="P77" s="20"/>
      <c r="Q77" s="20"/>
      <c r="R77" s="1"/>
      <c r="S77" s="1"/>
      <c r="T77" s="1"/>
      <c r="U77" s="1"/>
      <c r="V77" s="1"/>
      <c r="W77" s="1"/>
      <c r="X77" s="1"/>
      <c r="Y77" s="56"/>
      <c r="Z77" s="1"/>
    </row>
    <row r="78" spans="1:26" ht="14.5">
      <c r="A78" s="50"/>
      <c r="B78" s="51"/>
      <c r="C78" s="50"/>
      <c r="D78" s="50"/>
      <c r="E78" s="50"/>
      <c r="F78" s="50"/>
      <c r="G78" s="51"/>
      <c r="H78" s="50"/>
      <c r="I78" s="50"/>
      <c r="J78" s="50"/>
      <c r="K78" s="52"/>
      <c r="L78" s="74"/>
      <c r="M78" s="42"/>
      <c r="N78" s="70"/>
      <c r="O78" s="20"/>
      <c r="P78" s="20"/>
      <c r="Q78" s="20"/>
      <c r="R78" s="1"/>
      <c r="S78" s="1"/>
      <c r="T78" s="1"/>
      <c r="U78" s="1"/>
      <c r="V78" s="1"/>
      <c r="W78" s="1"/>
      <c r="X78" s="1"/>
      <c r="Y78" s="56"/>
      <c r="Z78" s="1"/>
    </row>
    <row r="79" spans="1:26" ht="14.5">
      <c r="A79" s="50"/>
      <c r="B79" s="51"/>
      <c r="C79" s="50"/>
      <c r="D79" s="50"/>
      <c r="E79" s="50"/>
      <c r="F79" s="50"/>
      <c r="G79" s="51"/>
      <c r="H79" s="50"/>
      <c r="I79" s="50"/>
      <c r="J79" s="50"/>
      <c r="K79" s="52"/>
      <c r="L79" s="74"/>
      <c r="M79" s="42"/>
      <c r="N79" s="70"/>
      <c r="O79" s="20"/>
      <c r="P79" s="20"/>
      <c r="Q79" s="20"/>
      <c r="R79" s="1"/>
      <c r="S79" s="1"/>
      <c r="T79" s="1"/>
      <c r="U79" s="1"/>
      <c r="V79" s="1"/>
      <c r="W79" s="1"/>
      <c r="X79" s="1"/>
      <c r="Y79" s="56"/>
      <c r="Z79" s="1"/>
    </row>
    <row r="80" spans="1:26" ht="14.5">
      <c r="A80" s="50"/>
      <c r="B80" s="51"/>
      <c r="C80" s="50"/>
      <c r="D80" s="50"/>
      <c r="E80" s="50"/>
      <c r="F80" s="50"/>
      <c r="G80" s="51"/>
      <c r="H80" s="50"/>
      <c r="I80" s="50"/>
      <c r="J80" s="50"/>
      <c r="K80" s="52"/>
      <c r="L80" s="74"/>
      <c r="M80" s="42"/>
      <c r="N80" s="70"/>
      <c r="O80" s="20"/>
      <c r="P80" s="20"/>
      <c r="Q80" s="20"/>
      <c r="R80" s="1"/>
      <c r="S80" s="1"/>
      <c r="T80" s="1"/>
      <c r="U80" s="1"/>
      <c r="V80" s="1"/>
      <c r="W80" s="1"/>
      <c r="X80" s="1"/>
      <c r="Y80" s="56"/>
      <c r="Z80" s="1"/>
    </row>
    <row r="81" spans="1:17" ht="14.5">
      <c r="A81" s="50"/>
      <c r="B81" s="51"/>
      <c r="C81" s="50"/>
      <c r="D81" s="50"/>
      <c r="E81" s="50"/>
      <c r="F81" s="50"/>
      <c r="G81" s="51"/>
      <c r="H81" s="50"/>
      <c r="I81" s="50"/>
      <c r="J81" s="50"/>
      <c r="K81" s="52"/>
      <c r="L81" s="74"/>
      <c r="M81" s="42"/>
      <c r="N81" s="70"/>
      <c r="O81" s="20"/>
      <c r="P81" s="20"/>
      <c r="Q81" s="20"/>
    </row>
    <row r="82" spans="1:17" ht="14.5">
      <c r="A82" s="50"/>
      <c r="B82" s="51"/>
      <c r="C82" s="50"/>
      <c r="D82" s="50"/>
      <c r="E82" s="50"/>
      <c r="F82" s="50"/>
      <c r="G82" s="51"/>
      <c r="H82" s="50"/>
      <c r="I82" s="50"/>
      <c r="J82" s="50"/>
      <c r="K82" s="52"/>
      <c r="L82" s="74"/>
      <c r="M82" s="42"/>
      <c r="N82" s="70"/>
      <c r="O82" s="20"/>
      <c r="P82" s="20"/>
      <c r="Q82" s="20"/>
    </row>
    <row r="83" spans="1:17" ht="14.5">
      <c r="A83" s="50"/>
      <c r="B83" s="51"/>
      <c r="C83" s="50"/>
      <c r="D83" s="50"/>
      <c r="E83" s="50"/>
      <c r="F83" s="50"/>
      <c r="G83" s="51"/>
      <c r="H83" s="50"/>
      <c r="I83" s="50"/>
      <c r="J83" s="50"/>
      <c r="K83" s="52"/>
      <c r="L83" s="74"/>
      <c r="M83" s="42"/>
      <c r="N83" s="70"/>
      <c r="O83" s="20"/>
      <c r="P83" s="20"/>
      <c r="Q83" s="20"/>
    </row>
    <row r="84" spans="1:17" ht="14.5">
      <c r="A84" s="50"/>
      <c r="B84" s="51"/>
      <c r="C84" s="50"/>
      <c r="D84" s="50"/>
      <c r="E84" s="50"/>
      <c r="F84" s="50"/>
      <c r="G84" s="51"/>
      <c r="H84" s="50"/>
      <c r="I84" s="50"/>
      <c r="J84" s="50"/>
      <c r="K84" s="52"/>
      <c r="L84" s="74"/>
      <c r="M84" s="42"/>
      <c r="N84" s="70"/>
      <c r="O84" s="20"/>
      <c r="P84" s="20"/>
      <c r="Q84" s="20"/>
    </row>
    <row r="85" spans="1:17" ht="14.5">
      <c r="A85" s="50"/>
      <c r="B85" s="51"/>
      <c r="C85" s="50"/>
      <c r="D85" s="50"/>
      <c r="E85" s="50"/>
      <c r="F85" s="50"/>
      <c r="G85" s="51"/>
      <c r="H85" s="50"/>
      <c r="I85" s="50"/>
      <c r="J85" s="50"/>
      <c r="K85" s="52"/>
      <c r="L85" s="68"/>
      <c r="M85" s="42"/>
      <c r="N85" s="70"/>
      <c r="O85" s="20"/>
      <c r="P85" s="20"/>
      <c r="Q85" s="20"/>
    </row>
    <row r="86" spans="1:17" ht="14.5">
      <c r="A86" s="50"/>
      <c r="B86" s="51"/>
      <c r="C86" s="50"/>
      <c r="D86" s="50"/>
      <c r="E86" s="50"/>
      <c r="F86" s="50"/>
      <c r="G86" s="51"/>
      <c r="H86" s="50"/>
      <c r="I86" s="50"/>
      <c r="J86" s="50"/>
      <c r="K86" s="52"/>
      <c r="L86" s="68"/>
      <c r="M86" s="42"/>
      <c r="N86" s="70"/>
      <c r="O86" s="20"/>
      <c r="P86" s="20"/>
      <c r="Q86" s="20"/>
    </row>
    <row r="87" spans="1:17" ht="14.5">
      <c r="A87" s="50"/>
      <c r="B87" s="51"/>
      <c r="C87" s="50"/>
      <c r="D87" s="50"/>
      <c r="E87" s="50"/>
      <c r="F87" s="50"/>
      <c r="G87" s="51"/>
      <c r="H87" s="50"/>
      <c r="I87" s="50"/>
      <c r="J87" s="50"/>
      <c r="K87" s="52"/>
      <c r="L87" s="68"/>
      <c r="M87" s="42"/>
      <c r="N87" s="70"/>
      <c r="O87" s="20"/>
      <c r="P87" s="20"/>
      <c r="Q87" s="20"/>
    </row>
    <row r="88" spans="1:17" ht="14.5">
      <c r="A88" s="50"/>
      <c r="B88" s="51"/>
      <c r="C88" s="50"/>
      <c r="D88" s="50"/>
      <c r="E88" s="50"/>
      <c r="F88" s="50"/>
      <c r="G88" s="51"/>
      <c r="H88" s="50"/>
      <c r="I88" s="50"/>
      <c r="J88" s="50"/>
      <c r="K88" s="52"/>
      <c r="L88" s="41"/>
      <c r="M88" s="42"/>
      <c r="N88" s="70"/>
      <c r="O88" s="20"/>
      <c r="P88" s="20"/>
      <c r="Q88" s="20"/>
    </row>
    <row r="89" spans="1:17" ht="14.5">
      <c r="A89" s="50"/>
      <c r="B89" s="51"/>
      <c r="C89" s="50"/>
      <c r="D89" s="50"/>
      <c r="E89" s="50"/>
      <c r="F89" s="50"/>
      <c r="G89" s="51"/>
      <c r="H89" s="50"/>
      <c r="I89" s="50"/>
      <c r="J89" s="50"/>
      <c r="K89" s="52"/>
      <c r="L89" s="68"/>
      <c r="M89" s="42"/>
      <c r="N89" s="70"/>
      <c r="O89" s="20"/>
      <c r="P89" s="20"/>
      <c r="Q89" s="20"/>
    </row>
    <row r="90" spans="1:17" ht="14.5">
      <c r="A90" s="50"/>
      <c r="B90" s="51"/>
      <c r="C90" s="50"/>
      <c r="D90" s="50"/>
      <c r="E90" s="50"/>
      <c r="F90" s="50"/>
      <c r="G90" s="51"/>
      <c r="H90" s="50"/>
      <c r="I90" s="50"/>
      <c r="J90" s="50"/>
      <c r="K90" s="52"/>
      <c r="L90" s="68"/>
      <c r="M90" s="42"/>
      <c r="N90" s="70"/>
      <c r="O90" s="20"/>
      <c r="P90" s="20"/>
      <c r="Q90" s="20"/>
    </row>
    <row r="91" spans="1:17" ht="14.5">
      <c r="A91" s="50"/>
      <c r="B91" s="51"/>
      <c r="C91" s="50"/>
      <c r="D91" s="50"/>
      <c r="E91" s="50"/>
      <c r="F91" s="50"/>
      <c r="G91" s="51"/>
      <c r="H91" s="50"/>
      <c r="I91" s="50"/>
      <c r="J91" s="50"/>
      <c r="K91" s="52"/>
      <c r="L91" s="41"/>
      <c r="M91" s="42"/>
      <c r="N91" s="70"/>
      <c r="O91" s="20"/>
      <c r="P91" s="20"/>
      <c r="Q91" s="20"/>
    </row>
    <row r="92" spans="1:17" ht="14.5">
      <c r="A92" s="50"/>
      <c r="B92" s="51"/>
      <c r="C92" s="50"/>
      <c r="D92" s="50"/>
      <c r="E92" s="50"/>
      <c r="F92" s="50"/>
      <c r="G92" s="51"/>
      <c r="H92" s="50"/>
      <c r="I92" s="50"/>
      <c r="J92" s="50"/>
      <c r="K92" s="52"/>
      <c r="L92" s="41"/>
      <c r="M92" s="42"/>
      <c r="N92" s="70"/>
      <c r="O92" s="20"/>
      <c r="P92" s="20"/>
      <c r="Q92" s="20"/>
    </row>
    <row r="93" spans="1:17" ht="14.5">
      <c r="A93" s="50"/>
      <c r="B93" s="51"/>
      <c r="C93" s="50"/>
      <c r="D93" s="50"/>
      <c r="E93" s="50"/>
      <c r="F93" s="50"/>
      <c r="G93" s="51"/>
      <c r="H93" s="50"/>
      <c r="I93" s="50"/>
      <c r="J93" s="50"/>
      <c r="K93" s="52"/>
      <c r="L93" s="41"/>
      <c r="M93" s="42"/>
      <c r="N93" s="70"/>
      <c r="O93" s="20"/>
      <c r="P93" s="20"/>
      <c r="Q93" s="20"/>
    </row>
    <row r="94" spans="1:17" ht="14.5">
      <c r="A94" s="50"/>
      <c r="B94" s="51"/>
      <c r="C94" s="50"/>
      <c r="D94" s="50"/>
      <c r="E94" s="50"/>
      <c r="F94" s="50"/>
      <c r="G94" s="51"/>
      <c r="H94" s="50"/>
      <c r="I94" s="50"/>
      <c r="J94" s="50"/>
      <c r="K94" s="52"/>
      <c r="L94" s="41"/>
      <c r="M94" s="42"/>
      <c r="N94" s="70"/>
      <c r="O94" s="20"/>
      <c r="P94" s="20"/>
      <c r="Q94" s="20"/>
    </row>
    <row r="95" spans="1:17" ht="14.5">
      <c r="A95" s="50"/>
      <c r="B95" s="51"/>
      <c r="C95" s="50"/>
      <c r="D95" s="50"/>
      <c r="E95" s="50"/>
      <c r="F95" s="50"/>
      <c r="G95" s="51"/>
      <c r="H95" s="50"/>
      <c r="I95" s="50"/>
      <c r="J95" s="50"/>
      <c r="K95" s="52"/>
      <c r="L95" s="41"/>
      <c r="M95" s="42"/>
      <c r="N95" s="70"/>
      <c r="O95" s="20"/>
      <c r="P95" s="20"/>
      <c r="Q95" s="20"/>
    </row>
    <row r="96" spans="1:17" ht="14.5">
      <c r="A96" s="50"/>
      <c r="B96" s="51"/>
      <c r="C96" s="50"/>
      <c r="D96" s="50"/>
      <c r="E96" s="50"/>
      <c r="F96" s="50"/>
      <c r="G96" s="51"/>
      <c r="H96" s="50"/>
      <c r="I96" s="50"/>
      <c r="J96" s="50"/>
      <c r="K96" s="52"/>
      <c r="L96" s="41"/>
      <c r="M96" s="42"/>
      <c r="N96" s="70"/>
      <c r="O96" s="20"/>
      <c r="P96" s="20"/>
      <c r="Q96" s="20"/>
    </row>
    <row r="97" spans="1:25" ht="14.5">
      <c r="A97" s="50"/>
      <c r="B97" s="51"/>
      <c r="C97" s="50"/>
      <c r="D97" s="50"/>
      <c r="E97" s="50"/>
      <c r="F97" s="50"/>
      <c r="G97" s="51"/>
      <c r="H97" s="50"/>
      <c r="I97" s="50"/>
      <c r="J97" s="50"/>
      <c r="K97" s="52"/>
      <c r="L97" s="41"/>
      <c r="M97" s="42"/>
      <c r="N97" s="70"/>
      <c r="O97" s="20"/>
      <c r="P97" s="20"/>
      <c r="Q97" s="20"/>
    </row>
    <row r="98" spans="1:25" ht="14.5">
      <c r="A98" s="50"/>
      <c r="B98" s="51"/>
      <c r="C98" s="50"/>
      <c r="D98" s="50"/>
      <c r="E98" s="50"/>
      <c r="F98" s="50"/>
      <c r="G98" s="51"/>
      <c r="H98" s="50"/>
      <c r="I98" s="50"/>
      <c r="J98" s="50"/>
      <c r="K98" s="52"/>
      <c r="L98" s="41"/>
      <c r="M98" s="42"/>
      <c r="N98" s="70"/>
      <c r="O98" s="20"/>
      <c r="P98" s="20"/>
      <c r="Q98" s="20"/>
    </row>
    <row r="99" spans="1:25" ht="14.5">
      <c r="A99" s="50"/>
      <c r="B99" s="51"/>
      <c r="C99" s="50"/>
      <c r="D99" s="50"/>
      <c r="E99" s="50"/>
      <c r="F99" s="50"/>
      <c r="G99" s="51"/>
      <c r="H99" s="50"/>
      <c r="I99" s="50"/>
      <c r="J99" s="50"/>
      <c r="K99" s="52"/>
      <c r="L99" s="41"/>
      <c r="M99" s="42"/>
      <c r="N99" s="70"/>
      <c r="O99" s="20"/>
      <c r="P99" s="20"/>
      <c r="Q99" s="20"/>
    </row>
    <row r="100" spans="1:25" ht="14.5">
      <c r="A100" s="50"/>
      <c r="B100" s="51"/>
      <c r="C100" s="50"/>
      <c r="D100" s="50"/>
      <c r="E100" s="50"/>
      <c r="F100" s="50"/>
      <c r="G100" s="51"/>
      <c r="H100" s="50"/>
      <c r="I100" s="50"/>
      <c r="J100" s="50"/>
      <c r="K100" s="52"/>
      <c r="L100" s="41"/>
      <c r="M100" s="42"/>
      <c r="N100" s="70"/>
      <c r="O100" s="20"/>
      <c r="P100" s="20"/>
      <c r="Q100" s="20"/>
    </row>
    <row r="101" spans="1:25" ht="14.5">
      <c r="A101" s="50"/>
      <c r="B101" s="51"/>
      <c r="C101" s="50"/>
      <c r="D101" s="50"/>
      <c r="E101" s="50"/>
      <c r="F101" s="50"/>
      <c r="G101" s="51"/>
      <c r="H101" s="50"/>
      <c r="I101" s="50"/>
      <c r="J101" s="50"/>
      <c r="K101" s="52"/>
      <c r="L101" s="41"/>
      <c r="M101" s="42"/>
      <c r="N101" s="70"/>
      <c r="O101" s="20"/>
      <c r="P101" s="20"/>
      <c r="Q101" s="20"/>
    </row>
    <row r="102" spans="1:25" ht="14.5">
      <c r="A102" s="50"/>
      <c r="B102" s="51"/>
      <c r="C102" s="50"/>
      <c r="D102" s="50"/>
      <c r="E102" s="50"/>
      <c r="F102" s="50"/>
      <c r="G102" s="51"/>
      <c r="H102" s="50"/>
      <c r="I102" s="50"/>
      <c r="J102" s="50"/>
      <c r="K102" s="52"/>
      <c r="L102" s="41"/>
      <c r="M102" s="42"/>
      <c r="N102" s="70"/>
      <c r="O102" s="20"/>
      <c r="P102" s="20"/>
      <c r="Q102" s="20"/>
    </row>
    <row r="103" spans="1:25" s="1" customFormat="1" ht="14.5">
      <c r="A103" s="2"/>
      <c r="B103" s="6"/>
      <c r="C103" s="5"/>
      <c r="D103" s="2"/>
      <c r="E103" s="2"/>
      <c r="F103" s="59"/>
      <c r="G103" s="6"/>
      <c r="H103" s="2"/>
      <c r="I103" s="50"/>
      <c r="J103" s="50"/>
      <c r="K103" s="54"/>
      <c r="L103" s="41"/>
      <c r="M103" s="41"/>
      <c r="N103" s="70"/>
      <c r="O103" s="22"/>
      <c r="P103" s="22"/>
      <c r="Q103" s="22"/>
      <c r="Y103" s="56"/>
    </row>
    <row r="104" spans="1:25" ht="14.5">
      <c r="A104" s="2"/>
      <c r="B104" s="6"/>
      <c r="C104" s="5"/>
      <c r="D104" s="2"/>
      <c r="E104" s="2"/>
      <c r="F104" s="59"/>
      <c r="G104" s="6"/>
      <c r="H104" s="2"/>
      <c r="I104" s="50"/>
      <c r="J104" s="50"/>
      <c r="K104" s="54"/>
      <c r="L104" s="41"/>
      <c r="M104" s="41"/>
      <c r="N104" s="70"/>
      <c r="O104" s="22"/>
      <c r="P104" s="22"/>
      <c r="Q104" s="22"/>
    </row>
    <row r="105" spans="1:25" ht="14.5">
      <c r="A105" s="2"/>
      <c r="B105" s="6"/>
      <c r="C105" s="5"/>
      <c r="D105" s="2"/>
      <c r="E105" s="2"/>
      <c r="F105" s="59"/>
      <c r="G105" s="6"/>
      <c r="H105" s="2"/>
      <c r="I105" s="50"/>
      <c r="J105" s="50"/>
      <c r="K105" s="54"/>
      <c r="L105" s="41"/>
      <c r="M105" s="41"/>
      <c r="N105" s="70"/>
      <c r="O105" s="22"/>
      <c r="P105" s="22"/>
      <c r="Q105" s="22"/>
    </row>
    <row r="106" spans="1:25" ht="14.5">
      <c r="A106" s="2"/>
      <c r="B106" s="6"/>
      <c r="C106" s="5"/>
      <c r="D106" s="2"/>
      <c r="E106" s="2"/>
      <c r="F106" s="59"/>
      <c r="G106" s="6"/>
      <c r="H106" s="2"/>
      <c r="I106" s="50"/>
      <c r="J106" s="50"/>
      <c r="K106" s="54"/>
      <c r="L106" s="41"/>
      <c r="M106" s="41"/>
      <c r="N106" s="70"/>
      <c r="O106" s="22"/>
      <c r="P106" s="22"/>
      <c r="Q106" s="22"/>
    </row>
    <row r="107" spans="1:25" ht="14.5">
      <c r="A107" s="2"/>
      <c r="B107" s="6"/>
      <c r="C107" s="5"/>
      <c r="D107" s="2"/>
      <c r="E107" s="2"/>
      <c r="F107" s="59"/>
      <c r="G107" s="6"/>
      <c r="H107" s="2"/>
      <c r="I107" s="50"/>
      <c r="J107" s="50"/>
      <c r="K107" s="54"/>
      <c r="L107" s="41"/>
      <c r="M107" s="41"/>
      <c r="N107" s="70"/>
      <c r="O107" s="22"/>
      <c r="P107" s="22"/>
      <c r="Q107" s="22"/>
    </row>
    <row r="108" spans="1:25" ht="14.5">
      <c r="A108" s="2"/>
      <c r="B108" s="6"/>
      <c r="C108" s="5"/>
      <c r="D108" s="2"/>
      <c r="E108" s="2"/>
      <c r="F108" s="59"/>
      <c r="G108" s="6"/>
      <c r="H108" s="2"/>
      <c r="I108" s="50"/>
      <c r="J108" s="50"/>
      <c r="K108" s="54"/>
      <c r="L108" s="41"/>
      <c r="M108" s="41"/>
      <c r="N108" s="70"/>
      <c r="O108" s="22"/>
      <c r="P108" s="22"/>
      <c r="Q108" s="22"/>
    </row>
    <row r="109" spans="1:25" ht="14.5">
      <c r="A109" s="2"/>
      <c r="B109" s="6"/>
      <c r="C109" s="5"/>
      <c r="D109" s="2"/>
      <c r="E109" s="2"/>
      <c r="F109" s="59"/>
      <c r="G109" s="6"/>
      <c r="H109" s="2"/>
      <c r="I109" s="50"/>
      <c r="J109" s="50"/>
      <c r="K109" s="54"/>
      <c r="L109" s="41"/>
      <c r="M109" s="41"/>
      <c r="N109" s="70"/>
      <c r="O109" s="22"/>
      <c r="P109" s="22"/>
      <c r="Q109" s="22"/>
    </row>
    <row r="110" spans="1:25" ht="14.5">
      <c r="A110" s="14"/>
      <c r="B110" s="15"/>
      <c r="C110" s="16"/>
      <c r="D110" s="14"/>
      <c r="E110" s="14"/>
      <c r="F110" s="60"/>
      <c r="G110" s="15"/>
      <c r="H110" s="14"/>
      <c r="I110" s="67"/>
      <c r="J110" s="67"/>
      <c r="K110" s="66"/>
      <c r="L110" s="43"/>
      <c r="M110" s="43"/>
      <c r="N110" s="71"/>
      <c r="O110" s="23"/>
      <c r="P110" s="23"/>
      <c r="Q110" s="23"/>
    </row>
    <row r="111" spans="1:25" ht="14.5">
      <c r="A111" s="2"/>
      <c r="B111" s="6"/>
      <c r="C111" s="5"/>
      <c r="D111" s="2"/>
      <c r="E111" s="2"/>
      <c r="F111" s="59"/>
      <c r="G111" s="6"/>
      <c r="H111" s="2"/>
      <c r="I111" s="50"/>
      <c r="J111" s="50"/>
      <c r="K111" s="54"/>
      <c r="L111" s="44"/>
      <c r="M111" s="44"/>
      <c r="N111" s="72"/>
      <c r="O111" s="24"/>
      <c r="P111" s="24"/>
      <c r="Q111" s="24"/>
    </row>
    <row r="112" spans="1:25" ht="14.5">
      <c r="A112" s="2"/>
      <c r="B112" s="6"/>
      <c r="C112" s="5"/>
      <c r="D112" s="2"/>
      <c r="E112" s="2"/>
      <c r="F112" s="59"/>
      <c r="G112" s="6"/>
      <c r="H112" s="2"/>
      <c r="I112" s="50"/>
      <c r="J112" s="50"/>
      <c r="K112" s="54"/>
      <c r="L112" s="44"/>
      <c r="M112" s="44"/>
      <c r="N112" s="72"/>
      <c r="O112" s="24"/>
      <c r="P112" s="24"/>
      <c r="Q112" s="24"/>
    </row>
    <row r="113" spans="1:17" ht="14.5">
      <c r="A113" s="2"/>
      <c r="B113" s="6"/>
      <c r="C113" s="5"/>
      <c r="D113" s="2"/>
      <c r="E113" s="2"/>
      <c r="F113" s="59"/>
      <c r="G113" s="6"/>
      <c r="H113" s="2"/>
      <c r="I113" s="50"/>
      <c r="J113" s="50"/>
      <c r="K113" s="54"/>
      <c r="L113" s="44"/>
      <c r="M113" s="44"/>
      <c r="N113" s="72"/>
      <c r="O113" s="24"/>
      <c r="P113" s="24"/>
      <c r="Q113" s="24"/>
    </row>
    <row r="114" spans="1:17" ht="14.5">
      <c r="A114" s="2"/>
      <c r="B114" s="6"/>
      <c r="C114" s="5"/>
      <c r="D114" s="2"/>
      <c r="E114" s="2"/>
      <c r="F114" s="59"/>
      <c r="G114" s="6"/>
      <c r="H114" s="2"/>
      <c r="I114" s="50"/>
      <c r="J114" s="50"/>
      <c r="K114" s="54"/>
      <c r="L114" s="44"/>
      <c r="M114" s="44"/>
      <c r="N114" s="72"/>
      <c r="O114" s="24"/>
      <c r="P114" s="24"/>
      <c r="Q114" s="24"/>
    </row>
    <row r="115" spans="1:17" ht="14.5">
      <c r="A115" s="2"/>
      <c r="B115" s="6"/>
      <c r="C115" s="5"/>
      <c r="D115" s="2"/>
      <c r="E115" s="2"/>
      <c r="F115" s="59"/>
      <c r="G115" s="6"/>
      <c r="H115" s="2"/>
      <c r="I115" s="50"/>
      <c r="J115" s="50"/>
      <c r="K115" s="54"/>
      <c r="L115" s="44"/>
      <c r="M115" s="44"/>
      <c r="N115" s="72"/>
      <c r="O115" s="24"/>
      <c r="P115" s="24"/>
      <c r="Q115" s="24"/>
    </row>
    <row r="116" spans="1:17" ht="14.5">
      <c r="A116" s="2"/>
      <c r="B116" s="6"/>
      <c r="C116" s="5"/>
      <c r="D116" s="2"/>
      <c r="E116" s="2"/>
      <c r="F116" s="59"/>
      <c r="G116" s="6"/>
      <c r="H116" s="2"/>
      <c r="I116" s="50"/>
      <c r="J116" s="50"/>
      <c r="K116" s="54"/>
      <c r="L116" s="44"/>
      <c r="M116" s="44"/>
      <c r="N116" s="72"/>
      <c r="O116" s="24"/>
      <c r="P116" s="24"/>
      <c r="Q116" s="24"/>
    </row>
    <row r="117" spans="1:17" ht="14.5">
      <c r="A117" s="2"/>
      <c r="B117" s="6"/>
      <c r="C117" s="5"/>
      <c r="D117" s="2"/>
      <c r="E117" s="2"/>
      <c r="F117" s="59"/>
      <c r="G117" s="6"/>
      <c r="H117" s="2"/>
      <c r="I117" s="50"/>
      <c r="J117" s="50"/>
      <c r="K117" s="54"/>
      <c r="L117" s="44"/>
      <c r="M117" s="44"/>
      <c r="N117" s="72"/>
      <c r="O117" s="24"/>
      <c r="P117" s="24"/>
      <c r="Q117" s="24"/>
    </row>
    <row r="118" spans="1:17" ht="14.5">
      <c r="A118" s="2"/>
      <c r="B118" s="6"/>
      <c r="C118" s="5"/>
      <c r="D118" s="2"/>
      <c r="E118" s="2"/>
      <c r="F118" s="59"/>
      <c r="G118" s="6"/>
      <c r="H118" s="2"/>
      <c r="I118" s="50"/>
      <c r="J118" s="50"/>
      <c r="K118" s="54"/>
      <c r="L118" s="44"/>
      <c r="M118" s="44"/>
      <c r="N118" s="72"/>
      <c r="O118" s="24"/>
      <c r="P118" s="24"/>
      <c r="Q118" s="24"/>
    </row>
    <row r="119" spans="1:17" ht="14.5">
      <c r="A119" s="2"/>
      <c r="B119" s="6"/>
      <c r="C119" s="5"/>
      <c r="D119" s="2"/>
      <c r="E119" s="2"/>
      <c r="F119" s="59"/>
      <c r="G119" s="6"/>
      <c r="H119" s="2"/>
      <c r="I119" s="50"/>
      <c r="J119" s="50"/>
      <c r="K119" s="54"/>
      <c r="L119" s="44"/>
      <c r="M119" s="44"/>
      <c r="N119" s="72"/>
      <c r="O119" s="24"/>
      <c r="P119" s="24"/>
      <c r="Q119" s="24"/>
    </row>
  </sheetData>
  <mergeCells count="32">
    <mergeCell ref="Z25:AA25"/>
    <mergeCell ref="U4:U5"/>
    <mergeCell ref="R4:R5"/>
    <mergeCell ref="S4:S5"/>
    <mergeCell ref="V4:V5"/>
    <mergeCell ref="Z19:AA19"/>
    <mergeCell ref="Z20:AA20"/>
    <mergeCell ref="Z21:AA21"/>
    <mergeCell ref="V16:V17"/>
    <mergeCell ref="Z18:AA18"/>
    <mergeCell ref="Z24:AA24"/>
    <mergeCell ref="R16:R17"/>
    <mergeCell ref="Z23:AA23"/>
    <mergeCell ref="X16:X17"/>
    <mergeCell ref="Z22:AA22"/>
    <mergeCell ref="S16:S17"/>
    <mergeCell ref="T16:T17"/>
    <mergeCell ref="U16:U17"/>
    <mergeCell ref="Z16:AA17"/>
    <mergeCell ref="W16:W17"/>
    <mergeCell ref="A1:Q1"/>
    <mergeCell ref="W4:W5"/>
    <mergeCell ref="Y16:Y17"/>
    <mergeCell ref="R14:AB15"/>
    <mergeCell ref="T4:T5"/>
    <mergeCell ref="R3:W3"/>
    <mergeCell ref="AB16:AB17"/>
    <mergeCell ref="R28:U29"/>
    <mergeCell ref="U30:U31"/>
    <mergeCell ref="T30:T31"/>
    <mergeCell ref="S30:S31"/>
    <mergeCell ref="R30:R31"/>
  </mergeCells>
  <conditionalFormatting sqref="A1:A1048576">
    <cfRule type="duplicateValues" dxfId="8" priority="4"/>
    <cfRule type="duplicateValues" dxfId="7" priority="5"/>
    <cfRule type="duplicateValues" dxfId="6" priority="6"/>
    <cfRule type="duplicateValues" dxfId="5" priority="7"/>
    <cfRule type="duplicateValues" dxfId="4" priority="8"/>
    <cfRule type="duplicateValues" dxfId="3" priority="9"/>
  </conditionalFormatting>
  <conditionalFormatting sqref="K2:K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{F017052F-48F8-4383-9492-B12489C79EFF}</x14:id>
        </ext>
      </extLst>
    </cfRule>
  </conditionalFormatting>
  <conditionalFormatting sqref="A2:A78">
    <cfRule type="duplicateValues" dxfId="2" priority="535"/>
  </conditionalFormatting>
  <conditionalFormatting sqref="A79:A119">
    <cfRule type="duplicateValues" dxfId="1" priority="554"/>
  </conditionalFormatting>
  <conditionalFormatting sqref="L3:L84">
    <cfRule type="colorScale" priority="559">
      <colorScale>
        <cfvo type="min"/>
        <cfvo type="max"/>
        <color rgb="FF63BE7B"/>
        <color rgb="FFFFEF9C"/>
      </colorScale>
    </cfRule>
    <cfRule type="dataBar" priority="56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{1CA42EA8-9EDB-438C-B7B9-91DB518DAA63}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17052F-48F8-4383-9492-B12489C79E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K2:K1048576</xm:sqref>
        </x14:conditionalFormatting>
        <x14:conditionalFormatting xmlns:xm="http://schemas.microsoft.com/office/excel/2006/main">
          <x14:cfRule type="dataBar" id="{1CA42EA8-9EDB-438C-B7B9-91DB518DAA6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L3:L84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zoomScale="80" zoomScaleNormal="80" workbookViewId="0">
      <pane ySplit="1" topLeftCell="A6" activePane="bottomLeft" state="frozen"/>
      <selection pane="bottomLeft" activeCell="A6" sqref="A6:H32"/>
    </sheetView>
  </sheetViews>
  <sheetFormatPr defaultRowHeight="14.5"/>
  <cols>
    <col min="1" max="1" width="18.81640625" bestFit="1" customWidth="1"/>
    <col min="2" max="2" width="9.81640625" bestFit="1" customWidth="1"/>
    <col min="3" max="3" width="68.81640625" style="8" bestFit="1" customWidth="1"/>
    <col min="4" max="4" width="16.7265625" bestFit="1" customWidth="1"/>
    <col min="5" max="5" width="17.1796875" bestFit="1" customWidth="1"/>
    <col min="6" max="6" width="18.453125" bestFit="1" customWidth="1"/>
    <col min="7" max="7" width="7.54296875" bestFit="1" customWidth="1"/>
    <col min="8" max="8" width="15.81640625" bestFit="1" customWidth="1"/>
  </cols>
  <sheetData>
    <row r="1" spans="1:8" s="26" customFormat="1" ht="18.5">
      <c r="A1" s="27" t="s">
        <v>1</v>
      </c>
      <c r="B1" s="27" t="s">
        <v>2</v>
      </c>
      <c r="C1" s="28" t="s">
        <v>3</v>
      </c>
      <c r="D1" s="27" t="s">
        <v>4</v>
      </c>
      <c r="E1" s="27" t="s">
        <v>5</v>
      </c>
      <c r="F1" s="27" t="s">
        <v>6</v>
      </c>
      <c r="G1" s="27" t="s">
        <v>7</v>
      </c>
      <c r="H1" s="27" t="s">
        <v>8</v>
      </c>
    </row>
    <row r="2" spans="1:8">
      <c r="C2" s="9"/>
      <c r="D2" s="10"/>
      <c r="F2" s="8"/>
    </row>
    <row r="3" spans="1:8">
      <c r="C3" s="9"/>
      <c r="D3" s="10"/>
      <c r="F3" s="8"/>
    </row>
    <row r="4" spans="1:8">
      <c r="C4" s="9"/>
      <c r="D4" s="10"/>
      <c r="F4" s="8"/>
    </row>
    <row r="5" spans="1:8">
      <c r="C5" s="9"/>
      <c r="D5" s="10"/>
      <c r="F5" s="8"/>
    </row>
    <row r="6" spans="1:8">
      <c r="A6" t="s">
        <v>232</v>
      </c>
      <c r="B6">
        <v>1022</v>
      </c>
      <c r="C6" s="9" t="s">
        <v>189</v>
      </c>
      <c r="D6" s="10" t="s">
        <v>31</v>
      </c>
      <c r="E6" t="s">
        <v>20</v>
      </c>
      <c r="F6" s="8">
        <v>45355</v>
      </c>
      <c r="G6" t="s">
        <v>47</v>
      </c>
      <c r="H6" t="s">
        <v>48</v>
      </c>
    </row>
    <row r="7" spans="1:8">
      <c r="A7" t="s">
        <v>233</v>
      </c>
      <c r="B7">
        <v>1026</v>
      </c>
      <c r="C7" s="9" t="s">
        <v>166</v>
      </c>
      <c r="D7" s="10" t="s">
        <v>31</v>
      </c>
      <c r="E7" t="s">
        <v>20</v>
      </c>
      <c r="F7" s="8">
        <v>45271</v>
      </c>
      <c r="G7" t="s">
        <v>47</v>
      </c>
      <c r="H7" t="s">
        <v>48</v>
      </c>
    </row>
    <row r="8" spans="1:8">
      <c r="A8" t="s">
        <v>234</v>
      </c>
      <c r="B8">
        <v>1031</v>
      </c>
      <c r="C8" s="9" t="s">
        <v>235</v>
      </c>
      <c r="D8" s="10" t="s">
        <v>19</v>
      </c>
      <c r="E8" t="s">
        <v>20</v>
      </c>
      <c r="F8" s="8">
        <v>45091</v>
      </c>
      <c r="G8" t="s">
        <v>47</v>
      </c>
      <c r="H8" t="s">
        <v>48</v>
      </c>
    </row>
    <row r="9" spans="1:8">
      <c r="A9" t="s">
        <v>236</v>
      </c>
      <c r="B9">
        <v>1033</v>
      </c>
      <c r="C9" s="9" t="s">
        <v>120</v>
      </c>
      <c r="D9" s="10" t="s">
        <v>30</v>
      </c>
      <c r="E9" t="s">
        <v>20</v>
      </c>
      <c r="F9" s="8">
        <v>45483</v>
      </c>
      <c r="G9" t="s">
        <v>47</v>
      </c>
      <c r="H9" t="s">
        <v>54</v>
      </c>
    </row>
    <row r="10" spans="1:8">
      <c r="A10" t="s">
        <v>237</v>
      </c>
      <c r="B10">
        <v>1041</v>
      </c>
      <c r="C10" s="9" t="s">
        <v>166</v>
      </c>
      <c r="D10" s="10" t="s">
        <v>30</v>
      </c>
      <c r="E10" t="s">
        <v>20</v>
      </c>
      <c r="F10" s="8">
        <v>45756</v>
      </c>
      <c r="G10" t="s">
        <v>47</v>
      </c>
      <c r="H10" t="s">
        <v>48</v>
      </c>
    </row>
    <row r="11" spans="1:8">
      <c r="A11" t="s">
        <v>238</v>
      </c>
      <c r="B11">
        <v>1042</v>
      </c>
      <c r="C11" s="9" t="s">
        <v>239</v>
      </c>
      <c r="D11" s="10" t="s">
        <v>19</v>
      </c>
      <c r="E11" t="s">
        <v>20</v>
      </c>
      <c r="F11" s="8">
        <v>45757</v>
      </c>
      <c r="G11" t="s">
        <v>47</v>
      </c>
      <c r="H11" t="s">
        <v>48</v>
      </c>
    </row>
    <row r="12" spans="1:8">
      <c r="A12" t="s">
        <v>240</v>
      </c>
      <c r="B12">
        <v>1043</v>
      </c>
      <c r="C12" s="9" t="s">
        <v>189</v>
      </c>
      <c r="D12" s="10" t="s">
        <v>31</v>
      </c>
      <c r="E12" t="s">
        <v>20</v>
      </c>
      <c r="F12" s="8">
        <v>45757</v>
      </c>
      <c r="G12" t="s">
        <v>47</v>
      </c>
      <c r="H12" t="s">
        <v>48</v>
      </c>
    </row>
    <row r="13" spans="1:8">
      <c r="A13" t="s">
        <v>241</v>
      </c>
      <c r="B13">
        <v>1044</v>
      </c>
      <c r="C13" s="9" t="s">
        <v>144</v>
      </c>
      <c r="D13" s="10" t="s">
        <v>19</v>
      </c>
      <c r="E13" t="s">
        <v>20</v>
      </c>
      <c r="F13" s="8">
        <v>45756</v>
      </c>
      <c r="G13" t="s">
        <v>47</v>
      </c>
      <c r="H13" t="s">
        <v>64</v>
      </c>
    </row>
    <row r="14" spans="1:8">
      <c r="A14" t="s">
        <v>242</v>
      </c>
      <c r="B14">
        <v>1046</v>
      </c>
      <c r="C14" s="9" t="s">
        <v>68</v>
      </c>
      <c r="D14" s="10" t="s">
        <v>23</v>
      </c>
      <c r="E14" t="s">
        <v>13</v>
      </c>
      <c r="F14" s="8">
        <v>45749</v>
      </c>
      <c r="G14" t="s">
        <v>47</v>
      </c>
      <c r="H14" t="s">
        <v>77</v>
      </c>
    </row>
    <row r="15" spans="1:8">
      <c r="A15" t="s">
        <v>243</v>
      </c>
      <c r="B15">
        <v>1055</v>
      </c>
      <c r="C15" s="9" t="s">
        <v>120</v>
      </c>
      <c r="D15" s="10" t="s">
        <v>23</v>
      </c>
      <c r="E15" t="s">
        <v>13</v>
      </c>
      <c r="F15" s="8">
        <v>45240</v>
      </c>
      <c r="G15" t="s">
        <v>47</v>
      </c>
      <c r="H15" t="s">
        <v>77</v>
      </c>
    </row>
    <row r="16" spans="1:8">
      <c r="A16" t="s">
        <v>244</v>
      </c>
      <c r="B16">
        <v>1133</v>
      </c>
      <c r="C16" s="9" t="s">
        <v>245</v>
      </c>
      <c r="D16" s="10" t="s">
        <v>17</v>
      </c>
      <c r="E16" t="s">
        <v>18</v>
      </c>
      <c r="F16" s="8">
        <v>45965</v>
      </c>
      <c r="G16" t="s">
        <v>47</v>
      </c>
      <c r="H16" t="s">
        <v>124</v>
      </c>
    </row>
    <row r="17" spans="1:16">
      <c r="A17" t="s">
        <v>246</v>
      </c>
      <c r="B17">
        <v>1070</v>
      </c>
      <c r="C17" s="9" t="s">
        <v>206</v>
      </c>
      <c r="D17" s="10" t="s">
        <v>17</v>
      </c>
      <c r="E17" t="s">
        <v>18</v>
      </c>
      <c r="F17" s="8">
        <v>45335</v>
      </c>
      <c r="G17" t="s">
        <v>47</v>
      </c>
      <c r="H17" t="s">
        <v>54</v>
      </c>
    </row>
    <row r="18" spans="1:16">
      <c r="A18" t="s">
        <v>247</v>
      </c>
      <c r="B18">
        <v>1086</v>
      </c>
      <c r="C18" s="9" t="s">
        <v>186</v>
      </c>
      <c r="D18" s="10" t="s">
        <v>30</v>
      </c>
      <c r="E18" t="s">
        <v>20</v>
      </c>
      <c r="F18" s="8">
        <v>45789</v>
      </c>
      <c r="G18" t="s">
        <v>47</v>
      </c>
      <c r="H18" t="s">
        <v>64</v>
      </c>
    </row>
    <row r="19" spans="1:16">
      <c r="A19" t="s">
        <v>248</v>
      </c>
      <c r="B19">
        <v>1088</v>
      </c>
      <c r="C19" s="8" t="s">
        <v>249</v>
      </c>
      <c r="D19" t="s">
        <v>19</v>
      </c>
      <c r="E19" t="s">
        <v>20</v>
      </c>
      <c r="F19" s="8">
        <v>45793</v>
      </c>
      <c r="G19" t="s">
        <v>47</v>
      </c>
      <c r="H19" t="s">
        <v>64</v>
      </c>
    </row>
    <row r="20" spans="1:16">
      <c r="A20" t="s">
        <v>250</v>
      </c>
      <c r="B20">
        <v>1095</v>
      </c>
      <c r="C20" s="8" t="s">
        <v>251</v>
      </c>
      <c r="D20" t="s">
        <v>12</v>
      </c>
      <c r="E20" t="s">
        <v>13</v>
      </c>
      <c r="F20" s="8">
        <v>45840.426848460651</v>
      </c>
      <c r="G20" t="s">
        <v>47</v>
      </c>
      <c r="H20" t="s">
        <v>64</v>
      </c>
    </row>
    <row r="21" spans="1:16">
      <c r="A21" t="s">
        <v>252</v>
      </c>
      <c r="B21">
        <v>1021</v>
      </c>
      <c r="C21" s="8" t="s">
        <v>253</v>
      </c>
      <c r="D21" t="s">
        <v>32</v>
      </c>
      <c r="E21" t="s">
        <v>21</v>
      </c>
      <c r="F21" s="8">
        <v>45926.634754259256</v>
      </c>
      <c r="G21" t="s">
        <v>47</v>
      </c>
      <c r="H21" t="s">
        <v>64</v>
      </c>
    </row>
    <row r="22" spans="1:16">
      <c r="A22" t="s">
        <v>254</v>
      </c>
      <c r="B22">
        <v>1023</v>
      </c>
      <c r="C22" s="8" t="s">
        <v>253</v>
      </c>
      <c r="D22" t="s">
        <v>32</v>
      </c>
      <c r="E22" t="s">
        <v>21</v>
      </c>
      <c r="F22">
        <v>45926.635607511576</v>
      </c>
      <c r="G22" t="s">
        <v>47</v>
      </c>
      <c r="H22" t="s">
        <v>64</v>
      </c>
      <c r="P22" s="75"/>
    </row>
    <row r="23" spans="1:16">
      <c r="A23" t="s">
        <v>255</v>
      </c>
      <c r="B23">
        <v>1085</v>
      </c>
      <c r="C23" s="8" t="s">
        <v>256</v>
      </c>
      <c r="D23" t="s">
        <v>12</v>
      </c>
      <c r="E23" t="s">
        <v>13</v>
      </c>
      <c r="F23">
        <v>45785</v>
      </c>
      <c r="G23" t="s">
        <v>47</v>
      </c>
      <c r="H23" t="s">
        <v>64</v>
      </c>
    </row>
    <row r="24" spans="1:16">
      <c r="A24" t="s">
        <v>257</v>
      </c>
      <c r="B24">
        <v>1027</v>
      </c>
      <c r="C24" s="8" t="s">
        <v>239</v>
      </c>
      <c r="D24" t="s">
        <v>19</v>
      </c>
      <c r="E24" t="s">
        <v>20</v>
      </c>
      <c r="F24">
        <v>45936.495864375</v>
      </c>
      <c r="G24" t="s">
        <v>47</v>
      </c>
      <c r="H24" t="s">
        <v>48</v>
      </c>
    </row>
    <row r="25" spans="1:16">
      <c r="A25" t="s">
        <v>258</v>
      </c>
      <c r="B25">
        <v>1129</v>
      </c>
      <c r="C25" s="8" t="s">
        <v>120</v>
      </c>
      <c r="D25" t="s">
        <v>30</v>
      </c>
      <c r="E25" t="s">
        <v>20</v>
      </c>
      <c r="F25" t="s">
        <v>259</v>
      </c>
      <c r="G25" t="s">
        <v>47</v>
      </c>
      <c r="H25" t="s">
        <v>48</v>
      </c>
    </row>
    <row r="26" spans="1:16">
      <c r="A26" t="s">
        <v>260</v>
      </c>
      <c r="B26">
        <v>1131</v>
      </c>
      <c r="C26" s="8" t="s">
        <v>261</v>
      </c>
      <c r="D26" t="s">
        <v>17</v>
      </c>
      <c r="E26" t="s">
        <v>18</v>
      </c>
      <c r="F26">
        <v>45964</v>
      </c>
      <c r="G26" t="s">
        <v>47</v>
      </c>
      <c r="H26" t="s">
        <v>64</v>
      </c>
    </row>
    <row r="27" spans="1:16">
      <c r="A27" t="s">
        <v>262</v>
      </c>
      <c r="B27">
        <v>1135</v>
      </c>
      <c r="C27" s="8" t="s">
        <v>239</v>
      </c>
      <c r="D27" t="s">
        <v>31</v>
      </c>
      <c r="E27" t="s">
        <v>20</v>
      </c>
      <c r="F27">
        <v>45968</v>
      </c>
      <c r="G27" t="s">
        <v>47</v>
      </c>
      <c r="H27" t="s">
        <v>48</v>
      </c>
    </row>
    <row r="28" spans="1:16">
      <c r="A28" t="s">
        <v>263</v>
      </c>
      <c r="B28">
        <v>1132</v>
      </c>
      <c r="C28" s="8" t="s">
        <v>264</v>
      </c>
      <c r="D28" t="s">
        <v>12</v>
      </c>
      <c r="E28" t="s">
        <v>13</v>
      </c>
      <c r="F28">
        <v>45964</v>
      </c>
      <c r="G28" t="s">
        <v>47</v>
      </c>
      <c r="H28" t="s">
        <v>64</v>
      </c>
    </row>
    <row r="29" spans="1:16">
      <c r="A29" t="s">
        <v>265</v>
      </c>
      <c r="B29">
        <v>1140</v>
      </c>
      <c r="C29" s="8" t="s">
        <v>266</v>
      </c>
      <c r="D29" t="s">
        <v>30</v>
      </c>
      <c r="E29" t="s">
        <v>20</v>
      </c>
      <c r="F29">
        <v>45980</v>
      </c>
      <c r="G29" t="s">
        <v>47</v>
      </c>
      <c r="H29" t="s">
        <v>48</v>
      </c>
    </row>
    <row r="30" spans="1:16">
      <c r="A30" t="s">
        <v>267</v>
      </c>
      <c r="B30">
        <v>1142</v>
      </c>
      <c r="C30" s="8" t="s">
        <v>268</v>
      </c>
      <c r="D30" t="s">
        <v>31</v>
      </c>
      <c r="E30" t="s">
        <v>20</v>
      </c>
      <c r="F30">
        <v>45982</v>
      </c>
      <c r="G30" t="s">
        <v>47</v>
      </c>
      <c r="H30" t="s">
        <v>48</v>
      </c>
    </row>
    <row r="31" spans="1:16">
      <c r="A31" t="s">
        <v>269</v>
      </c>
      <c r="B31">
        <v>1143</v>
      </c>
      <c r="C31" s="8" t="s">
        <v>270</v>
      </c>
      <c r="D31" t="s">
        <v>31</v>
      </c>
      <c r="E31" t="s">
        <v>20</v>
      </c>
      <c r="F31">
        <v>45986</v>
      </c>
      <c r="G31" t="s">
        <v>47</v>
      </c>
      <c r="H31" t="s">
        <v>48</v>
      </c>
    </row>
  </sheetData>
  <conditionalFormatting sqref="A1:A1048576">
    <cfRule type="duplicateValues" dxfId="0" priority="43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PRODUCTIVITY</vt:lpstr>
      <vt:lpstr>ZERO PTPs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LENOVO P40</cp:lastModifiedBy>
  <cp:revision/>
  <dcterms:created xsi:type="dcterms:W3CDTF">2023-07-26T14:23:13Z</dcterms:created>
  <dcterms:modified xsi:type="dcterms:W3CDTF">2025-11-27T07:30:16Z</dcterms:modified>
  <cp:category/>
  <cp:contentStatus/>
</cp:coreProperties>
</file>