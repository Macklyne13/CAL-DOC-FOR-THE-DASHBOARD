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P40\Downloads\"/>
    </mc:Choice>
  </mc:AlternateContent>
  <bookViews>
    <workbookView xWindow="0" yWindow="0" windowWidth="9140" windowHeight="9890"/>
  </bookViews>
  <sheets>
    <sheet name="ALL ACMS " sheetId="4" r:id="rId1"/>
  </sheets>
  <externalReferences>
    <externalReference r:id="rId2"/>
  </externalReferences>
  <definedNames>
    <definedName name="_xlnm._FilterDatabase" localSheetId="0" hidden="1">'ALL ACMS '!$A$1:$Q$98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8" i="4" l="1"/>
  <c r="P98" i="4"/>
  <c r="O98" i="4"/>
  <c r="N98" i="4"/>
  <c r="L98" i="4"/>
  <c r="K98" i="4"/>
  <c r="M98" i="4" s="1"/>
  <c r="Q97" i="4"/>
  <c r="P97" i="4"/>
  <c r="O97" i="4"/>
  <c r="L97" i="4"/>
  <c r="N97" i="4" s="1"/>
  <c r="K97" i="4"/>
  <c r="M97" i="4" s="1"/>
  <c r="Q96" i="4"/>
  <c r="P96" i="4"/>
  <c r="O96" i="4"/>
  <c r="L96" i="4"/>
  <c r="N96" i="4" s="1"/>
  <c r="K96" i="4"/>
  <c r="M96" i="4" s="1"/>
  <c r="Q95" i="4"/>
  <c r="P95" i="4"/>
  <c r="O95" i="4"/>
  <c r="L95" i="4"/>
  <c r="N95" i="4" s="1"/>
  <c r="K95" i="4"/>
  <c r="M95" i="4" s="1"/>
  <c r="Q94" i="4"/>
  <c r="P94" i="4"/>
  <c r="O94" i="4"/>
  <c r="L94" i="4"/>
  <c r="N94" i="4" s="1"/>
  <c r="K94" i="4"/>
  <c r="M94" i="4" s="1"/>
  <c r="Q93" i="4"/>
  <c r="P93" i="4"/>
  <c r="O93" i="4"/>
  <c r="L93" i="4"/>
  <c r="N93" i="4" s="1"/>
  <c r="K93" i="4"/>
  <c r="M93" i="4" s="1"/>
  <c r="Q92" i="4"/>
  <c r="P92" i="4"/>
  <c r="O92" i="4"/>
  <c r="L92" i="4"/>
  <c r="N92" i="4" s="1"/>
  <c r="K92" i="4"/>
  <c r="M92" i="4" s="1"/>
  <c r="Q91" i="4"/>
  <c r="P91" i="4"/>
  <c r="O91" i="4"/>
  <c r="L91" i="4"/>
  <c r="N91" i="4" s="1"/>
  <c r="K91" i="4"/>
  <c r="M91" i="4" s="1"/>
  <c r="Q90" i="4"/>
  <c r="P90" i="4"/>
  <c r="O90" i="4"/>
  <c r="L90" i="4"/>
  <c r="N90" i="4" s="1"/>
  <c r="K90" i="4"/>
  <c r="M90" i="4" s="1"/>
  <c r="Q89" i="4"/>
  <c r="P89" i="4"/>
  <c r="O89" i="4"/>
  <c r="L89" i="4"/>
  <c r="N89" i="4" s="1"/>
  <c r="K89" i="4"/>
  <c r="M89" i="4" s="1"/>
  <c r="Q88" i="4"/>
  <c r="P88" i="4"/>
  <c r="O88" i="4"/>
  <c r="L88" i="4"/>
  <c r="N88" i="4" s="1"/>
  <c r="K88" i="4"/>
  <c r="M88" i="4" s="1"/>
  <c r="Q87" i="4"/>
  <c r="P87" i="4"/>
  <c r="O87" i="4"/>
  <c r="L87" i="4"/>
  <c r="N87" i="4" s="1"/>
  <c r="K87" i="4"/>
  <c r="M87" i="4" s="1"/>
  <c r="Q86" i="4"/>
  <c r="P86" i="4"/>
  <c r="O86" i="4"/>
  <c r="L86" i="4"/>
  <c r="N86" i="4" s="1"/>
  <c r="K86" i="4"/>
  <c r="M86" i="4" s="1"/>
  <c r="Q85" i="4"/>
  <c r="P85" i="4"/>
  <c r="O85" i="4"/>
  <c r="M85" i="4"/>
  <c r="L85" i="4"/>
  <c r="N85" i="4" s="1"/>
  <c r="K85" i="4"/>
  <c r="Q84" i="4"/>
  <c r="P84" i="4"/>
  <c r="O84" i="4"/>
  <c r="L84" i="4"/>
  <c r="N84" i="4" s="1"/>
  <c r="K84" i="4"/>
  <c r="M84" i="4" s="1"/>
  <c r="Q83" i="4"/>
  <c r="P83" i="4"/>
  <c r="O83" i="4"/>
  <c r="L83" i="4"/>
  <c r="N83" i="4" s="1"/>
  <c r="K83" i="4"/>
  <c r="M83" i="4" s="1"/>
  <c r="Q82" i="4"/>
  <c r="P82" i="4"/>
  <c r="O82" i="4"/>
  <c r="N82" i="4"/>
  <c r="L82" i="4"/>
  <c r="K82" i="4"/>
  <c r="M82" i="4" s="1"/>
  <c r="Q81" i="4"/>
  <c r="P81" i="4"/>
  <c r="O81" i="4"/>
  <c r="L81" i="4"/>
  <c r="N81" i="4" s="1"/>
  <c r="K81" i="4"/>
  <c r="M81" i="4" s="1"/>
  <c r="Q80" i="4"/>
  <c r="P80" i="4"/>
  <c r="O80" i="4"/>
  <c r="L80" i="4"/>
  <c r="N80" i="4" s="1"/>
  <c r="K80" i="4"/>
  <c r="M80" i="4" s="1"/>
  <c r="Q79" i="4"/>
  <c r="P79" i="4"/>
  <c r="O79" i="4"/>
  <c r="L79" i="4"/>
  <c r="N79" i="4" s="1"/>
  <c r="K79" i="4"/>
  <c r="M79" i="4" s="1"/>
  <c r="Q78" i="4"/>
  <c r="P78" i="4"/>
  <c r="O78" i="4"/>
  <c r="L78" i="4"/>
  <c r="N78" i="4" s="1"/>
  <c r="K78" i="4"/>
  <c r="M78" i="4" s="1"/>
  <c r="Q77" i="4"/>
  <c r="P77" i="4"/>
  <c r="O77" i="4"/>
  <c r="L77" i="4"/>
  <c r="N77" i="4" s="1"/>
  <c r="K77" i="4"/>
  <c r="M77" i="4" s="1"/>
  <c r="Q76" i="4"/>
  <c r="P76" i="4"/>
  <c r="O76" i="4"/>
  <c r="L76" i="4"/>
  <c r="N76" i="4" s="1"/>
  <c r="K76" i="4"/>
  <c r="M76" i="4" s="1"/>
  <c r="Q75" i="4"/>
  <c r="P75" i="4"/>
  <c r="O75" i="4"/>
  <c r="L75" i="4"/>
  <c r="N75" i="4" s="1"/>
  <c r="K75" i="4"/>
  <c r="M75" i="4" s="1"/>
  <c r="Q74" i="4"/>
  <c r="P74" i="4"/>
  <c r="O74" i="4"/>
  <c r="L74" i="4"/>
  <c r="N74" i="4" s="1"/>
  <c r="K74" i="4"/>
  <c r="M74" i="4" s="1"/>
  <c r="Q73" i="4"/>
  <c r="P73" i="4"/>
  <c r="O73" i="4"/>
  <c r="L73" i="4"/>
  <c r="N73" i="4" s="1"/>
  <c r="K73" i="4"/>
  <c r="M73" i="4" s="1"/>
  <c r="Q72" i="4"/>
  <c r="P72" i="4"/>
  <c r="O72" i="4"/>
  <c r="L72" i="4"/>
  <c r="N72" i="4" s="1"/>
  <c r="K72" i="4"/>
  <c r="M72" i="4" s="1"/>
  <c r="Q71" i="4"/>
  <c r="P71" i="4"/>
  <c r="O71" i="4"/>
  <c r="L71" i="4"/>
  <c r="N71" i="4" s="1"/>
  <c r="K71" i="4"/>
  <c r="M71" i="4" s="1"/>
  <c r="Q70" i="4"/>
  <c r="P70" i="4"/>
  <c r="O70" i="4"/>
  <c r="L70" i="4"/>
  <c r="N70" i="4" s="1"/>
  <c r="K70" i="4"/>
  <c r="M70" i="4" s="1"/>
  <c r="Q69" i="4"/>
  <c r="P69" i="4"/>
  <c r="O69" i="4"/>
  <c r="M69" i="4"/>
  <c r="L69" i="4"/>
  <c r="N69" i="4" s="1"/>
  <c r="K69" i="4"/>
  <c r="Q68" i="4"/>
  <c r="P68" i="4"/>
  <c r="O68" i="4"/>
  <c r="L68" i="4"/>
  <c r="N68" i="4" s="1"/>
  <c r="K68" i="4"/>
  <c r="M68" i="4" s="1"/>
  <c r="Q67" i="4"/>
  <c r="P67" i="4"/>
  <c r="O67" i="4"/>
  <c r="L67" i="4"/>
  <c r="N67" i="4" s="1"/>
  <c r="K67" i="4"/>
  <c r="M67" i="4" s="1"/>
  <c r="Q66" i="4"/>
  <c r="P66" i="4"/>
  <c r="O66" i="4"/>
  <c r="N66" i="4"/>
  <c r="L66" i="4"/>
  <c r="K66" i="4"/>
  <c r="M66" i="4" s="1"/>
  <c r="Q65" i="4"/>
  <c r="P65" i="4"/>
  <c r="O65" i="4"/>
  <c r="L65" i="4"/>
  <c r="N65" i="4" s="1"/>
  <c r="K65" i="4"/>
  <c r="M65" i="4" s="1"/>
  <c r="Q64" i="4"/>
  <c r="P64" i="4"/>
  <c r="O64" i="4"/>
  <c r="L64" i="4"/>
  <c r="N64" i="4" s="1"/>
  <c r="K64" i="4"/>
  <c r="M64" i="4" s="1"/>
  <c r="Q63" i="4"/>
  <c r="P63" i="4"/>
  <c r="O63" i="4"/>
  <c r="L63" i="4"/>
  <c r="N63" i="4" s="1"/>
  <c r="K63" i="4"/>
  <c r="M63" i="4" s="1"/>
  <c r="Q62" i="4"/>
  <c r="P62" i="4"/>
  <c r="O62" i="4"/>
  <c r="L62" i="4"/>
  <c r="N62" i="4" s="1"/>
  <c r="K62" i="4"/>
  <c r="M62" i="4" s="1"/>
  <c r="Q61" i="4"/>
  <c r="P61" i="4"/>
  <c r="O61" i="4"/>
  <c r="L61" i="4"/>
  <c r="N61" i="4" s="1"/>
  <c r="K61" i="4"/>
  <c r="M61" i="4" s="1"/>
  <c r="Q60" i="4"/>
  <c r="P60" i="4"/>
  <c r="O60" i="4"/>
  <c r="L60" i="4"/>
  <c r="N60" i="4" s="1"/>
  <c r="K60" i="4"/>
  <c r="M60" i="4" s="1"/>
  <c r="Q59" i="4"/>
  <c r="P59" i="4"/>
  <c r="O59" i="4"/>
  <c r="L59" i="4"/>
  <c r="N59" i="4" s="1"/>
  <c r="K59" i="4"/>
  <c r="M59" i="4" s="1"/>
  <c r="Q58" i="4"/>
  <c r="P58" i="4"/>
  <c r="O58" i="4"/>
  <c r="L58" i="4"/>
  <c r="N58" i="4" s="1"/>
  <c r="K58" i="4"/>
  <c r="M58" i="4" s="1"/>
  <c r="Q57" i="4"/>
  <c r="P57" i="4"/>
  <c r="O57" i="4"/>
  <c r="L57" i="4"/>
  <c r="N57" i="4" s="1"/>
  <c r="K57" i="4"/>
  <c r="M57" i="4" s="1"/>
  <c r="Q56" i="4"/>
  <c r="P56" i="4"/>
  <c r="O56" i="4"/>
  <c r="L56" i="4"/>
  <c r="N56" i="4" s="1"/>
  <c r="K56" i="4"/>
  <c r="M56" i="4" s="1"/>
  <c r="Q55" i="4"/>
  <c r="P55" i="4"/>
  <c r="O55" i="4"/>
  <c r="L55" i="4"/>
  <c r="N55" i="4" s="1"/>
  <c r="K55" i="4"/>
  <c r="M55" i="4" s="1"/>
  <c r="Q54" i="4"/>
  <c r="P54" i="4"/>
  <c r="O54" i="4"/>
  <c r="L54" i="4"/>
  <c r="N54" i="4" s="1"/>
  <c r="K54" i="4"/>
  <c r="M54" i="4" s="1"/>
  <c r="Q53" i="4"/>
  <c r="P53" i="4"/>
  <c r="O53" i="4"/>
  <c r="M53" i="4"/>
  <c r="L53" i="4"/>
  <c r="N53" i="4" s="1"/>
  <c r="K53" i="4"/>
  <c r="Q52" i="4"/>
  <c r="P52" i="4"/>
  <c r="O52" i="4"/>
  <c r="L52" i="4"/>
  <c r="N52" i="4" s="1"/>
  <c r="K52" i="4"/>
  <c r="M52" i="4" s="1"/>
  <c r="Q51" i="4"/>
  <c r="P51" i="4"/>
  <c r="O51" i="4"/>
  <c r="L51" i="4"/>
  <c r="N51" i="4" s="1"/>
  <c r="K51" i="4"/>
  <c r="M51" i="4" s="1"/>
  <c r="Q50" i="4"/>
  <c r="P50" i="4"/>
  <c r="O50" i="4"/>
  <c r="N50" i="4"/>
  <c r="L50" i="4"/>
  <c r="K50" i="4"/>
  <c r="M50" i="4" s="1"/>
  <c r="Q49" i="4"/>
  <c r="P49" i="4"/>
  <c r="O49" i="4"/>
  <c r="L49" i="4"/>
  <c r="N49" i="4" s="1"/>
  <c r="K49" i="4"/>
  <c r="M49" i="4" s="1"/>
  <c r="Q48" i="4"/>
  <c r="P48" i="4"/>
  <c r="O48" i="4"/>
  <c r="L48" i="4"/>
  <c r="N48" i="4" s="1"/>
  <c r="K48" i="4"/>
  <c r="M48" i="4" s="1"/>
  <c r="Q47" i="4"/>
  <c r="P47" i="4"/>
  <c r="O47" i="4"/>
  <c r="L47" i="4"/>
  <c r="N47" i="4" s="1"/>
  <c r="K47" i="4"/>
  <c r="M47" i="4" s="1"/>
  <c r="Q46" i="4"/>
  <c r="P46" i="4"/>
  <c r="O46" i="4"/>
  <c r="L46" i="4"/>
  <c r="N46" i="4" s="1"/>
  <c r="K46" i="4"/>
  <c r="M46" i="4" s="1"/>
  <c r="Q45" i="4"/>
  <c r="P45" i="4"/>
  <c r="O45" i="4"/>
  <c r="L45" i="4"/>
  <c r="N45" i="4" s="1"/>
  <c r="K45" i="4"/>
  <c r="M45" i="4" s="1"/>
  <c r="Q44" i="4"/>
  <c r="P44" i="4"/>
  <c r="O44" i="4"/>
  <c r="L44" i="4"/>
  <c r="N44" i="4" s="1"/>
  <c r="K44" i="4"/>
  <c r="M44" i="4" s="1"/>
  <c r="Q43" i="4"/>
  <c r="P43" i="4"/>
  <c r="O43" i="4"/>
  <c r="L43" i="4"/>
  <c r="N43" i="4" s="1"/>
  <c r="K43" i="4"/>
  <c r="M43" i="4" s="1"/>
  <c r="Q42" i="4"/>
  <c r="P42" i="4"/>
  <c r="O42" i="4"/>
  <c r="L42" i="4"/>
  <c r="N42" i="4" s="1"/>
  <c r="K42" i="4"/>
  <c r="M42" i="4" s="1"/>
  <c r="Q41" i="4"/>
  <c r="P41" i="4"/>
  <c r="O41" i="4"/>
  <c r="L41" i="4"/>
  <c r="N41" i="4" s="1"/>
  <c r="K41" i="4"/>
  <c r="M41" i="4" s="1"/>
  <c r="Q40" i="4"/>
  <c r="P40" i="4"/>
  <c r="O40" i="4"/>
  <c r="L40" i="4"/>
  <c r="N40" i="4" s="1"/>
  <c r="K40" i="4"/>
  <c r="M40" i="4" s="1"/>
  <c r="Q39" i="4"/>
  <c r="P39" i="4"/>
  <c r="O39" i="4"/>
  <c r="L39" i="4"/>
  <c r="N39" i="4" s="1"/>
  <c r="K39" i="4"/>
  <c r="M39" i="4" s="1"/>
  <c r="Q38" i="4"/>
  <c r="P38" i="4"/>
  <c r="O38" i="4"/>
  <c r="L38" i="4"/>
  <c r="N38" i="4" s="1"/>
  <c r="K38" i="4"/>
  <c r="M38" i="4" s="1"/>
  <c r="Q37" i="4"/>
  <c r="P37" i="4"/>
  <c r="O37" i="4"/>
  <c r="M37" i="4"/>
  <c r="L37" i="4"/>
  <c r="N37" i="4" s="1"/>
  <c r="K37" i="4"/>
  <c r="Q36" i="4"/>
  <c r="P36" i="4"/>
  <c r="O36" i="4"/>
  <c r="L36" i="4"/>
  <c r="N36" i="4" s="1"/>
  <c r="K36" i="4"/>
  <c r="M36" i="4" s="1"/>
  <c r="Q35" i="4"/>
  <c r="P35" i="4"/>
  <c r="O35" i="4"/>
  <c r="L35" i="4"/>
  <c r="N35" i="4" s="1"/>
  <c r="K35" i="4"/>
  <c r="M35" i="4" s="1"/>
  <c r="Q34" i="4"/>
  <c r="P34" i="4"/>
  <c r="O34" i="4"/>
  <c r="N34" i="4"/>
  <c r="L34" i="4"/>
  <c r="K34" i="4"/>
  <c r="M34" i="4" s="1"/>
  <c r="Q33" i="4"/>
  <c r="P33" i="4"/>
  <c r="O33" i="4"/>
  <c r="L33" i="4"/>
  <c r="N33" i="4" s="1"/>
  <c r="K33" i="4"/>
  <c r="M33" i="4" s="1"/>
  <c r="Q32" i="4"/>
  <c r="P32" i="4"/>
  <c r="O32" i="4"/>
  <c r="L32" i="4"/>
  <c r="N32" i="4" s="1"/>
  <c r="K32" i="4"/>
  <c r="M32" i="4" s="1"/>
  <c r="Q31" i="4"/>
  <c r="P31" i="4"/>
  <c r="O31" i="4"/>
  <c r="L31" i="4"/>
  <c r="N31" i="4" s="1"/>
  <c r="K31" i="4"/>
  <c r="M31" i="4" s="1"/>
  <c r="Q30" i="4"/>
  <c r="P30" i="4"/>
  <c r="O30" i="4"/>
  <c r="L30" i="4"/>
  <c r="N30" i="4" s="1"/>
  <c r="K30" i="4"/>
  <c r="M30" i="4" s="1"/>
  <c r="Q29" i="4"/>
  <c r="P29" i="4"/>
  <c r="O29" i="4"/>
  <c r="L29" i="4"/>
  <c r="N29" i="4" s="1"/>
  <c r="K29" i="4"/>
  <c r="M29" i="4" s="1"/>
  <c r="Q28" i="4"/>
  <c r="P28" i="4"/>
  <c r="O28" i="4"/>
  <c r="L28" i="4"/>
  <c r="N28" i="4" s="1"/>
  <c r="K28" i="4"/>
  <c r="M28" i="4" s="1"/>
  <c r="Q27" i="4"/>
  <c r="P27" i="4"/>
  <c r="O27" i="4"/>
  <c r="L27" i="4"/>
  <c r="N27" i="4" s="1"/>
  <c r="K27" i="4"/>
  <c r="M27" i="4" s="1"/>
  <c r="Q26" i="4"/>
  <c r="P26" i="4"/>
  <c r="O26" i="4"/>
  <c r="L26" i="4"/>
  <c r="N26" i="4" s="1"/>
  <c r="K26" i="4"/>
  <c r="M26" i="4" s="1"/>
  <c r="Q25" i="4"/>
  <c r="P25" i="4"/>
  <c r="O25" i="4"/>
  <c r="L25" i="4"/>
  <c r="N25" i="4" s="1"/>
  <c r="K25" i="4"/>
  <c r="M25" i="4" s="1"/>
  <c r="Q24" i="4"/>
  <c r="P24" i="4"/>
  <c r="O24" i="4"/>
  <c r="L24" i="4"/>
  <c r="N24" i="4" s="1"/>
  <c r="K24" i="4"/>
  <c r="M24" i="4" s="1"/>
  <c r="Q23" i="4"/>
  <c r="P23" i="4"/>
  <c r="O23" i="4"/>
  <c r="L23" i="4"/>
  <c r="N23" i="4" s="1"/>
  <c r="K23" i="4"/>
  <c r="M23" i="4" s="1"/>
  <c r="Q22" i="4"/>
  <c r="P22" i="4"/>
  <c r="O22" i="4"/>
  <c r="L22" i="4"/>
  <c r="N22" i="4" s="1"/>
  <c r="K22" i="4"/>
  <c r="M22" i="4" s="1"/>
  <c r="Q21" i="4"/>
  <c r="P21" i="4"/>
  <c r="O21" i="4"/>
  <c r="M21" i="4"/>
  <c r="L21" i="4"/>
  <c r="N21" i="4" s="1"/>
  <c r="K21" i="4"/>
  <c r="Q20" i="4"/>
  <c r="P20" i="4"/>
  <c r="O20" i="4"/>
  <c r="L20" i="4"/>
  <c r="N20" i="4" s="1"/>
  <c r="K20" i="4"/>
  <c r="M20" i="4" s="1"/>
  <c r="Q19" i="4"/>
  <c r="P19" i="4"/>
  <c r="O19" i="4"/>
  <c r="L19" i="4"/>
  <c r="N19" i="4" s="1"/>
  <c r="K19" i="4"/>
  <c r="M19" i="4" s="1"/>
  <c r="Q18" i="4"/>
  <c r="P18" i="4"/>
  <c r="O18" i="4"/>
  <c r="N18" i="4"/>
  <c r="L18" i="4"/>
  <c r="K18" i="4"/>
  <c r="M18" i="4" s="1"/>
  <c r="Q17" i="4"/>
  <c r="P17" i="4"/>
  <c r="O17" i="4"/>
  <c r="L17" i="4"/>
  <c r="N17" i="4" s="1"/>
  <c r="K17" i="4"/>
  <c r="M17" i="4" s="1"/>
  <c r="Q16" i="4"/>
  <c r="P16" i="4"/>
  <c r="O16" i="4"/>
  <c r="L16" i="4"/>
  <c r="N16" i="4" s="1"/>
  <c r="K16" i="4"/>
  <c r="M16" i="4" s="1"/>
  <c r="Q15" i="4"/>
  <c r="P15" i="4"/>
  <c r="O15" i="4"/>
  <c r="L15" i="4"/>
  <c r="N15" i="4" s="1"/>
  <c r="K15" i="4"/>
  <c r="M15" i="4" s="1"/>
  <c r="Q14" i="4"/>
  <c r="P14" i="4"/>
  <c r="O14" i="4"/>
  <c r="L14" i="4"/>
  <c r="N14" i="4" s="1"/>
  <c r="K14" i="4"/>
  <c r="M14" i="4" s="1"/>
  <c r="Q13" i="4"/>
  <c r="P13" i="4"/>
  <c r="O13" i="4"/>
  <c r="L13" i="4"/>
  <c r="N13" i="4" s="1"/>
  <c r="K13" i="4"/>
  <c r="M13" i="4" s="1"/>
  <c r="Q12" i="4"/>
  <c r="P12" i="4"/>
  <c r="O12" i="4"/>
  <c r="L12" i="4"/>
  <c r="N12" i="4" s="1"/>
  <c r="K12" i="4"/>
  <c r="M12" i="4" s="1"/>
  <c r="Q11" i="4"/>
  <c r="P11" i="4"/>
  <c r="O11" i="4"/>
  <c r="L11" i="4"/>
  <c r="N11" i="4" s="1"/>
  <c r="K11" i="4"/>
  <c r="M11" i="4" s="1"/>
  <c r="Q10" i="4"/>
  <c r="P10" i="4"/>
  <c r="O10" i="4"/>
  <c r="L10" i="4"/>
  <c r="N10" i="4" s="1"/>
  <c r="K10" i="4"/>
  <c r="M10" i="4" s="1"/>
  <c r="Q9" i="4"/>
  <c r="P9" i="4"/>
  <c r="O9" i="4"/>
  <c r="L9" i="4"/>
  <c r="N9" i="4" s="1"/>
  <c r="K9" i="4"/>
  <c r="M9" i="4" s="1"/>
  <c r="Q8" i="4"/>
  <c r="P8" i="4"/>
  <c r="O8" i="4"/>
  <c r="L8" i="4"/>
  <c r="N8" i="4" s="1"/>
  <c r="K8" i="4"/>
  <c r="M8" i="4" s="1"/>
  <c r="Q7" i="4"/>
  <c r="P7" i="4"/>
  <c r="O7" i="4"/>
  <c r="L7" i="4"/>
  <c r="N7" i="4" s="1"/>
  <c r="K7" i="4"/>
  <c r="M7" i="4" s="1"/>
  <c r="Q6" i="4"/>
  <c r="P6" i="4"/>
  <c r="O6" i="4"/>
  <c r="L6" i="4"/>
  <c r="N6" i="4" s="1"/>
  <c r="K6" i="4"/>
  <c r="M6" i="4" s="1"/>
  <c r="Q5" i="4"/>
  <c r="P5" i="4"/>
  <c r="O5" i="4"/>
  <c r="M5" i="4"/>
  <c r="L5" i="4"/>
  <c r="N5" i="4" s="1"/>
  <c r="K5" i="4"/>
  <c r="Q4" i="4"/>
  <c r="P4" i="4"/>
  <c r="O4" i="4"/>
  <c r="L4" i="4"/>
  <c r="N4" i="4" s="1"/>
  <c r="K4" i="4"/>
  <c r="M4" i="4" s="1"/>
  <c r="Q3" i="4"/>
  <c r="P3" i="4"/>
  <c r="O3" i="4"/>
  <c r="L3" i="4"/>
  <c r="N3" i="4" s="1"/>
  <c r="K3" i="4"/>
  <c r="M3" i="4" s="1"/>
  <c r="Q2" i="4"/>
  <c r="P2" i="4"/>
  <c r="O2" i="4"/>
  <c r="N2" i="4"/>
  <c r="L2" i="4"/>
  <c r="K2" i="4"/>
  <c r="M2" i="4" s="1"/>
</calcChain>
</file>

<file path=xl/sharedStrings.xml><?xml version="1.0" encoding="utf-8"?>
<sst xmlns="http://schemas.openxmlformats.org/spreadsheetml/2006/main" count="600" uniqueCount="199">
  <si>
    <t>accountname</t>
  </si>
  <si>
    <t>acm id</t>
  </si>
  <si>
    <t>Books Allocated</t>
  </si>
  <si>
    <t>team_name</t>
  </si>
  <si>
    <t>branch_name</t>
  </si>
  <si>
    <t>DATE CREATED</t>
  </si>
  <si>
    <t>SHIFT</t>
  </si>
  <si>
    <t>STATUS</t>
  </si>
  <si>
    <t>PTP TARGET (VOLUME)</t>
  </si>
  <si>
    <t xml:space="preserve"> PTP TARGET(VALUE)</t>
  </si>
  <si>
    <t>PTPs CREATED (VOLUME)</t>
  </si>
  <si>
    <t>PTP CREATED (VALUE)</t>
  </si>
  <si>
    <t>PTP DEFICIT (VOLUME)</t>
  </si>
  <si>
    <t>PTP% ACHIEVED</t>
  </si>
  <si>
    <t>LOGIN TIME</t>
  </si>
  <si>
    <t>1ST UPDATE TIME</t>
  </si>
  <si>
    <t>LAST UPDATE TIME</t>
  </si>
  <si>
    <t>MARGARET MWAWANA</t>
  </si>
  <si>
    <t>TIMIZA/ZENKA</t>
  </si>
  <si>
    <t>TEAM MUGAMBI</t>
  </si>
  <si>
    <t>CAL HQ</t>
  </si>
  <si>
    <t>DAY</t>
  </si>
  <si>
    <t>Fintech</t>
  </si>
  <si>
    <t>ELIZABETH ONDIEKI</t>
  </si>
  <si>
    <t>NCBA DIGITAL</t>
  </si>
  <si>
    <t>TEAM MUNYOKI</t>
  </si>
  <si>
    <t>JOSEPHAT ABIGAH</t>
  </si>
  <si>
    <t>STANBIC BANK</t>
  </si>
  <si>
    <t>CONVENTIONAL</t>
  </si>
  <si>
    <t>STEPHEN ODHIAMBO</t>
  </si>
  <si>
    <t>MSHWARI COHORT/MSHWARI GSA/XSOLAR/ZENKA</t>
  </si>
  <si>
    <t>TEAM REHEMA</t>
  </si>
  <si>
    <t>KISUMU BRANCH</t>
  </si>
  <si>
    <t>FINTECH</t>
  </si>
  <si>
    <t>MONICAH KANINI</t>
  </si>
  <si>
    <t>NCBA DIGITAL/POTENTIAL</t>
  </si>
  <si>
    <t>TEAM SANTANA</t>
  </si>
  <si>
    <t>Alice Waithera</t>
  </si>
  <si>
    <t>ABSA CONVENTIONAL</t>
  </si>
  <si>
    <t>SUSAN MUYONGA</t>
  </si>
  <si>
    <t>DAN SIMIYU</t>
  </si>
  <si>
    <t>Joshua Ossome</t>
  </si>
  <si>
    <t>DINERO CAPITAL/EQUITY CONVENTIONAL/HYNFRA TECHNOLOGIES/KISUMU SPECIALIST HOSPITAL</t>
  </si>
  <si>
    <t>SHEILA LUMUMBA</t>
  </si>
  <si>
    <t>STL/NCBA LOOP/HELB</t>
  </si>
  <si>
    <t>RUTH NJAMBI</t>
  </si>
  <si>
    <t>MARY COLETA</t>
  </si>
  <si>
    <t>AMON MWANGI</t>
  </si>
  <si>
    <t>RUTH SITATI</t>
  </si>
  <si>
    <t>HYBRID</t>
  </si>
  <si>
    <t>JULIANA ORWA</t>
  </si>
  <si>
    <t>EQUITY DIGITAL</t>
  </si>
  <si>
    <t>MATEX WANJIRU</t>
  </si>
  <si>
    <t>BAU/TIMIZAL/ZENKA</t>
  </si>
  <si>
    <t>CHRISTOPHER OMONDI</t>
  </si>
  <si>
    <t>TIMIZA/ZENKA/MSHWARI POTENTIAL</t>
  </si>
  <si>
    <t>TEAM MUTHONI</t>
  </si>
  <si>
    <t>Grace waigwe</t>
  </si>
  <si>
    <t>Eugene Imbayi</t>
  </si>
  <si>
    <t>HELB</t>
  </si>
  <si>
    <t>William Obuya</t>
  </si>
  <si>
    <t>Julius Macharia</t>
  </si>
  <si>
    <t>BAU/ZENKA</t>
  </si>
  <si>
    <t>ADILITE KATONO</t>
  </si>
  <si>
    <t>EDITH ADHIAMBO</t>
  </si>
  <si>
    <t>ELIZABETH OKOTH</t>
  </si>
  <si>
    <t>MSHWARI COHORT/MSHWARI GSA/ZENKA</t>
  </si>
  <si>
    <t>VALARY AGAK</t>
  </si>
  <si>
    <t>CO-OPERATIVE BANK SACCO/MSHWARI COHORT/MSHWARI GSA/ZENKA</t>
  </si>
  <si>
    <t>MARTHA AKINYI</t>
  </si>
  <si>
    <t>BAU/ZENKA/POTENTIAL</t>
  </si>
  <si>
    <t>LYDIAH ACHIENG</t>
  </si>
  <si>
    <t>POTENTIAL/ZENKA</t>
  </si>
  <si>
    <t>DORICE OTIENO</t>
  </si>
  <si>
    <t>ALEX MURIMI</t>
  </si>
  <si>
    <t>KCB CONVENTIONAL/NCBA LOOP/NCBA LOANS/STL</t>
  </si>
  <si>
    <t>Hybrid</t>
  </si>
  <si>
    <t>ANDREW TINDI</t>
  </si>
  <si>
    <t>RODGERS OCHIENG</t>
  </si>
  <si>
    <t>TIMIZA/PEZESHA/ZENKA/MSHWARI COHORT/GSA/BAU/MSHWARI ALTERNATIVE</t>
  </si>
  <si>
    <t>EVANCE MAINA</t>
  </si>
  <si>
    <t>Dickens Omollo</t>
  </si>
  <si>
    <t>BAU/MSHWARI ALTERNATIVE</t>
  </si>
  <si>
    <t>OSCAR OMONDI</t>
  </si>
  <si>
    <t>KENYA ALLIANCE/LOCKBX/MSHWARI COHORT/XSOLAR/ZENKA</t>
  </si>
  <si>
    <t>TEAM MUEMA</t>
  </si>
  <si>
    <t>NAKURU BRANCH</t>
  </si>
  <si>
    <t>Krestein Mwai</t>
  </si>
  <si>
    <t>BAU/ZENKA/MSHWARI ALTERNATIVE</t>
  </si>
  <si>
    <t>PHILLIMON NYONGESA</t>
  </si>
  <si>
    <t>MSHWARI POTENTIAL/ZENKA/TIMIZA</t>
  </si>
  <si>
    <t>Irine Khamila</t>
  </si>
  <si>
    <t>MSHWARI ALTERNATIVE/X SOLAR</t>
  </si>
  <si>
    <t>Zeldah Kwamboka</t>
  </si>
  <si>
    <t>TIMIZA</t>
  </si>
  <si>
    <t>LANOLINE OGOLA</t>
  </si>
  <si>
    <t>KCB CONVENTIONAL/RIARA</t>
  </si>
  <si>
    <t>WAMBUI MARGARET</t>
  </si>
  <si>
    <t>WAIRIMU JANE</t>
  </si>
  <si>
    <t>KCB DIGITAL/KENTOURS SACCO/POTENTIAL/ZENKA</t>
  </si>
  <si>
    <t>JOYCE ATIENO</t>
  </si>
  <si>
    <t>KENTOURS SACCO/KENYA ALLIANCE/POTENTIAL/XSOLAR/ZENKA</t>
  </si>
  <si>
    <t>SUSAN ODHIAMBO</t>
  </si>
  <si>
    <t>KCB DIGITAL/KENTOURS SACCO/KENYA ALLIANCE/POTENTIAL/ZENKA</t>
  </si>
  <si>
    <t>KENNEDY MWANGI</t>
  </si>
  <si>
    <t>MSHWARI POTENTIAL/ZENKA</t>
  </si>
  <si>
    <t>JOSEPH MWAURA</t>
  </si>
  <si>
    <t>POTENTIAL/ZENKA/TIMIZA/SME LOAN/MSHWARI LLR</t>
  </si>
  <si>
    <t>NANCY MUTHONI</t>
  </si>
  <si>
    <t>ASANTE FINANCE/KENYA ALLIANCE/SHERIA SACCO/TIMIZA</t>
  </si>
  <si>
    <t>IRENE NJERI</t>
  </si>
  <si>
    <t>CAROLINE MWANGI</t>
  </si>
  <si>
    <t xml:space="preserve">EQUITY CONVENTIONAL/KISUMU SPECIALIST HOSPITAL </t>
  </si>
  <si>
    <t>VIRTUAL</t>
  </si>
  <si>
    <t>DENNIS NDUNGA</t>
  </si>
  <si>
    <t>JACOB OMONDI</t>
  </si>
  <si>
    <t>VIRTUAL(8am-5pm)</t>
  </si>
  <si>
    <t>JOAN CHEPKOECH</t>
  </si>
  <si>
    <t>EQUITY DIGITAL/ZENKA</t>
  </si>
  <si>
    <t>DOREEN KIMANI</t>
  </si>
  <si>
    <t>MSHWARI COHORT/ZENKA</t>
  </si>
  <si>
    <t>VIRTUAL DAY</t>
  </si>
  <si>
    <t>BEATRICE NZISA</t>
  </si>
  <si>
    <t>JUDY MULI</t>
  </si>
  <si>
    <t>BENADETTE WANJIRU</t>
  </si>
  <si>
    <t>NANCY AWOUR</t>
  </si>
  <si>
    <t>KCB DIGITAL/ZENKA</t>
  </si>
  <si>
    <t>GEORGE NANDWA</t>
  </si>
  <si>
    <t>NCBA LOOP/NCBA LOANS/STL</t>
  </si>
  <si>
    <t>RONALD OMBECHE</t>
  </si>
  <si>
    <t>ROSEMARY OKUMU</t>
  </si>
  <si>
    <t>TIMIZA/NCBA LOOP/ZENKA/BAU</t>
  </si>
  <si>
    <t>JULIET AWINJA</t>
  </si>
  <si>
    <t>KENTOURS SACCO/KENYA ALLIANCE/POTENTIAL/ZENKA</t>
  </si>
  <si>
    <t>NELLIAS ONYAPIDI</t>
  </si>
  <si>
    <t>MARION SOITA</t>
  </si>
  <si>
    <t>ASPIRA HIRE PURCHASE/KENTOURS SACCO/KENYA ALLIANCE/ZENKA</t>
  </si>
  <si>
    <t>OSCAR MANDU</t>
  </si>
  <si>
    <t>SHARON ATIENO</t>
  </si>
  <si>
    <t>TIMIZA/POTENTIAL/MSHWARI GSA/ZENKA/INVOICE</t>
  </si>
  <si>
    <t>MARY WAMAITHA</t>
  </si>
  <si>
    <t>ASAPIRA HIRE PURCHASE/BAU</t>
  </si>
  <si>
    <t>MARGARET MUCHOKI</t>
  </si>
  <si>
    <t>ASANTE FINANCE/LOCKBX/TIMIZA</t>
  </si>
  <si>
    <t>HARRIET NYANCHAMA</t>
  </si>
  <si>
    <t>KCB DIGITAL</t>
  </si>
  <si>
    <t>TONNY ODHIAMBO</t>
  </si>
  <si>
    <t>ZENKA/ MSHWARI POTENTIAL</t>
  </si>
  <si>
    <t>BEATRICE NYAWIRA</t>
  </si>
  <si>
    <t>EQUITY DIGITAL/KENYA ALLIANCE</t>
  </si>
  <si>
    <t>JOSEPH OMAR</t>
  </si>
  <si>
    <t>ZENKA/POTENTIAL</t>
  </si>
  <si>
    <t>VERONICAH ACHIENG</t>
  </si>
  <si>
    <t>MSHWARI POTENTIAL</t>
  </si>
  <si>
    <t>VICTOR ODWAR</t>
  </si>
  <si>
    <t>TIMIZA/MSHWARI GSA/BAU/MSHWARI COHORT/ZENKA</t>
  </si>
  <si>
    <t>PURITY CHEGE</t>
  </si>
  <si>
    <t>ASPIRA HIRE PURCHASE/KENYA ALLIANCE/LOCKBX/MSHWARI COHORT/ZENKA</t>
  </si>
  <si>
    <t>ALVIN MBAISI</t>
  </si>
  <si>
    <t>ACHIENG DIANA</t>
  </si>
  <si>
    <t>Fidelis Wambui</t>
  </si>
  <si>
    <t>COLLINS OTIENO</t>
  </si>
  <si>
    <t>LIPA LATER</t>
  </si>
  <si>
    <t>LAVENTAR NEKESA</t>
  </si>
  <si>
    <t>BAU/ZENKA/LIPA LATER</t>
  </si>
  <si>
    <t>NICHOLAS OTIENO</t>
  </si>
  <si>
    <t>JAMES MUTHURI</t>
  </si>
  <si>
    <t>MEWASSCO</t>
  </si>
  <si>
    <t>TEAM MUGEDI</t>
  </si>
  <si>
    <t>MERU BRANCH</t>
  </si>
  <si>
    <t>FRIDAH KIENDE</t>
  </si>
  <si>
    <t>Wilfred Onyango</t>
  </si>
  <si>
    <t>ZENKA</t>
  </si>
  <si>
    <t>FRANKLINE OTIENO</t>
  </si>
  <si>
    <t>HELLEN WAMBUI</t>
  </si>
  <si>
    <t>ZENKA/BAU/TIMIZA</t>
  </si>
  <si>
    <t>VICTOR OTIENO</t>
  </si>
  <si>
    <t>BAU/MSHWARI GSA/ZENKA</t>
  </si>
  <si>
    <t>Karen Kajuju</t>
  </si>
  <si>
    <t>ZENKA/TIMIZA</t>
  </si>
  <si>
    <t>Caroline Njeri</t>
  </si>
  <si>
    <t>29/10/2025</t>
  </si>
  <si>
    <t>STANBIC</t>
  </si>
  <si>
    <t>isaac Ngomo</t>
  </si>
  <si>
    <t>MSHWARI ALTERNATIVE/MSHWARI COHORT</t>
  </si>
  <si>
    <t>BRAVLINE OGUTU</t>
  </si>
  <si>
    <t>TIMIZA/ZENKA/MSHWARI GSA/MSHWARI COHORT/BAU</t>
  </si>
  <si>
    <t>GABRIEL LUSENO</t>
  </si>
  <si>
    <t>MSHWARI-LLR/ZENKA/POTENTIAL</t>
  </si>
  <si>
    <t>Boytone Omondi</t>
  </si>
  <si>
    <t>BRAVIN ODHIAMBO</t>
  </si>
  <si>
    <t>Mercy Achieng</t>
  </si>
  <si>
    <t>TIMIZA/MSHWARI POTENTIAL</t>
  </si>
  <si>
    <t>kelvin koech</t>
  </si>
  <si>
    <t>winstone Muyegu</t>
  </si>
  <si>
    <t>Edmond Karanja</t>
  </si>
  <si>
    <t>KCB SME</t>
  </si>
  <si>
    <t>Grace Chebet</t>
  </si>
  <si>
    <t>NCBA 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</si>
</sst>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-* #,##0_-;\-* #,##0_-;_-* &quot;-&quot;??_-;_-@_-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Segoe UI Black"/>
      <family val="2"/>
    </font>
    <font>
      <b/>
      <sz val="10"/>
      <color rgb="FF000000"/>
      <name val="Segoe UI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14" fontId="0" fillId="0" borderId="0" xfId="0" applyNumberFormat="1"/>
    <xf numFmtId="0" fontId="2" fillId="2" borderId="0" xfId="0" applyFont="1" applyFill="1"/>
    <xf numFmtId="14" fontId="2" fillId="2" borderId="0" xfId="0" applyNumberFormat="1" applyFont="1" applyFill="1"/>
    <xf numFmtId="0" fontId="2" fillId="2" borderId="1" xfId="0" applyFont="1" applyFill="1" applyBorder="1"/>
    <xf numFmtId="165" fontId="2" fillId="2" borderId="1" xfId="1" applyNumberFormat="1" applyFont="1" applyFill="1" applyBorder="1" applyAlignment="1"/>
    <xf numFmtId="0" fontId="3" fillId="3" borderId="1" xfId="0" applyFont="1" applyFill="1" applyBorder="1"/>
    <xf numFmtId="0" fontId="3" fillId="3" borderId="2" xfId="0" applyFont="1" applyFill="1" applyBorder="1"/>
    <xf numFmtId="0" fontId="4" fillId="3" borderId="2" xfId="0" applyFont="1" applyFill="1" applyBorder="1"/>
    <xf numFmtId="166" fontId="4" fillId="3" borderId="2" xfId="0" applyNumberFormat="1" applyFont="1" applyFill="1" applyBorder="1"/>
    <xf numFmtId="166" fontId="0" fillId="0" borderId="0" xfId="0" applyNumberFormat="1"/>
    <xf numFmtId="9" fontId="0" fillId="0" borderId="0" xfId="0" applyNumberFormat="1"/>
    <xf numFmtId="165" fontId="0" fillId="0" borderId="0" xfId="1" applyNumberFormat="1" applyFont="1"/>
  </cellXfs>
  <cellStyles count="3">
    <cellStyle name="Comma" xfId="1" builtinId="3"/>
    <cellStyle name="Normal" xfId="0" builtinId="0"/>
    <cellStyle name="Normal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ser%20Activity%20Report%20%20SmartCollect%20(7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USER</v>
          </cell>
          <cell r="B1" t="str">
            <v>PTPs Booked (Volume)</v>
          </cell>
          <cell r="C1" t="str">
            <v>PTPs Booked (Value)</v>
          </cell>
          <cell r="D1" t="str">
            <v>MTD (Value)</v>
          </cell>
          <cell r="E1" t="str">
            <v>LOGIN TIME</v>
          </cell>
          <cell r="F1" t="str">
            <v>1ST UPDATE TIME</v>
          </cell>
          <cell r="G1" t="str">
            <v>LAST UPDATE TIME</v>
          </cell>
        </row>
        <row r="2">
          <cell r="A2" t="str">
            <v>Achieng Diana</v>
          </cell>
          <cell r="B2">
            <v>1</v>
          </cell>
          <cell r="C2" t="str">
            <v>5,645.00</v>
          </cell>
          <cell r="D2">
            <v>0</v>
          </cell>
          <cell r="E2" t="str">
            <v>08:11</v>
          </cell>
          <cell r="F2" t="str">
            <v>08:12</v>
          </cell>
          <cell r="G2" t="str">
            <v>10:06</v>
          </cell>
        </row>
        <row r="3">
          <cell r="A3" t="str">
            <v>Adilite Katono</v>
          </cell>
          <cell r="B3">
            <v>5</v>
          </cell>
          <cell r="C3" t="str">
            <v>6,418.00</v>
          </cell>
          <cell r="D3">
            <v>0</v>
          </cell>
          <cell r="E3" t="str">
            <v>08:14</v>
          </cell>
          <cell r="F3" t="str">
            <v>08:26</v>
          </cell>
          <cell r="G3" t="str">
            <v>10:05</v>
          </cell>
        </row>
        <row r="4">
          <cell r="A4" t="str">
            <v>Alex Murimi</v>
          </cell>
          <cell r="B4">
            <v>1</v>
          </cell>
          <cell r="C4">
            <v>200</v>
          </cell>
          <cell r="D4">
            <v>0</v>
          </cell>
          <cell r="E4" t="str">
            <v>08:57</v>
          </cell>
          <cell r="F4" t="str">
            <v>08:58</v>
          </cell>
          <cell r="G4" t="str">
            <v>10:04</v>
          </cell>
        </row>
        <row r="5">
          <cell r="A5" t="str">
            <v>Alice Waithera</v>
          </cell>
          <cell r="B5">
            <v>0</v>
          </cell>
          <cell r="C5">
            <v>0</v>
          </cell>
          <cell r="D5" t="str">
            <v>20,000.00</v>
          </cell>
          <cell r="E5" t="str">
            <v>08:38</v>
          </cell>
          <cell r="F5" t="str">
            <v>09:17</v>
          </cell>
          <cell r="G5" t="str">
            <v>10:06</v>
          </cell>
        </row>
        <row r="6">
          <cell r="A6" t="str">
            <v>Alvin Mbaisi</v>
          </cell>
          <cell r="B6">
            <v>2</v>
          </cell>
          <cell r="C6" t="str">
            <v>3,900.00</v>
          </cell>
          <cell r="D6">
            <v>0</v>
          </cell>
          <cell r="E6" t="str">
            <v>08:28</v>
          </cell>
          <cell r="F6" t="str">
            <v>08:30</v>
          </cell>
          <cell r="G6" t="str">
            <v>10:05</v>
          </cell>
        </row>
        <row r="7">
          <cell r="A7" t="str">
            <v>Amon Mwangi</v>
          </cell>
          <cell r="B7">
            <v>8</v>
          </cell>
          <cell r="C7" t="str">
            <v>41,882.00</v>
          </cell>
          <cell r="D7">
            <v>0</v>
          </cell>
          <cell r="E7" t="str">
            <v>08:40</v>
          </cell>
          <cell r="F7" t="str">
            <v>08:42</v>
          </cell>
          <cell r="G7" t="str">
            <v>10:06</v>
          </cell>
        </row>
        <row r="8">
          <cell r="A8" t="str">
            <v>Andrew Tindi</v>
          </cell>
          <cell r="B8">
            <v>4</v>
          </cell>
          <cell r="C8" t="str">
            <v>4,464.79</v>
          </cell>
          <cell r="D8">
            <v>0</v>
          </cell>
          <cell r="E8" t="str">
            <v>08:21</v>
          </cell>
          <cell r="F8" t="str">
            <v>08:33</v>
          </cell>
          <cell r="G8" t="str">
            <v>09:57</v>
          </cell>
        </row>
        <row r="9">
          <cell r="A9" t="str">
            <v>Beatrice Nyawira</v>
          </cell>
          <cell r="B9">
            <v>2</v>
          </cell>
          <cell r="C9" t="str">
            <v>2,397.00</v>
          </cell>
          <cell r="D9">
            <v>0</v>
          </cell>
          <cell r="E9" t="str">
            <v>08:04</v>
          </cell>
          <cell r="F9" t="str">
            <v>08:06</v>
          </cell>
          <cell r="G9" t="str">
            <v>10:05</v>
          </cell>
        </row>
        <row r="10">
          <cell r="A10" t="str">
            <v>Beatrice Nzisa</v>
          </cell>
          <cell r="B10">
            <v>1</v>
          </cell>
          <cell r="C10" t="str">
            <v>1,216.00</v>
          </cell>
          <cell r="D10">
            <v>0</v>
          </cell>
          <cell r="E10" t="str">
            <v>08:14</v>
          </cell>
          <cell r="F10" t="str">
            <v>08:23</v>
          </cell>
          <cell r="G10" t="str">
            <v>10:04</v>
          </cell>
        </row>
        <row r="11">
          <cell r="A11" t="str">
            <v>Benadette Wanjiru</v>
          </cell>
          <cell r="B11">
            <v>1</v>
          </cell>
          <cell r="C11" t="str">
            <v>1,000.00</v>
          </cell>
          <cell r="D11">
            <v>0</v>
          </cell>
          <cell r="E11" t="str">
            <v>07:50</v>
          </cell>
          <cell r="F11" t="str">
            <v>08:33</v>
          </cell>
          <cell r="G11" t="str">
            <v>10:01</v>
          </cell>
        </row>
        <row r="12">
          <cell r="A12" t="str">
            <v>Beryl Rehema</v>
          </cell>
          <cell r="B12">
            <v>0</v>
          </cell>
          <cell r="C12">
            <v>0</v>
          </cell>
          <cell r="D12">
            <v>0</v>
          </cell>
          <cell r="E12" t="str">
            <v/>
          </cell>
          <cell r="F12" t="str">
            <v/>
          </cell>
          <cell r="G12" t="str">
            <v/>
          </cell>
        </row>
        <row r="13">
          <cell r="A13" t="str">
            <v>Boytone Omondi</v>
          </cell>
          <cell r="B13">
            <v>0</v>
          </cell>
          <cell r="C13">
            <v>0</v>
          </cell>
          <cell r="D13" t="str">
            <v>15,000.00</v>
          </cell>
          <cell r="E13" t="str">
            <v>08:14</v>
          </cell>
          <cell r="F13" t="str">
            <v>08:22</v>
          </cell>
          <cell r="G13" t="str">
            <v>10:01</v>
          </cell>
        </row>
        <row r="14">
          <cell r="A14" t="str">
            <v>Bravin Odhiambo</v>
          </cell>
          <cell r="B14">
            <v>2</v>
          </cell>
          <cell r="C14" t="str">
            <v>6,111.00</v>
          </cell>
          <cell r="D14">
            <v>0</v>
          </cell>
          <cell r="E14" t="str">
            <v>08:24</v>
          </cell>
          <cell r="F14" t="str">
            <v>08:34</v>
          </cell>
          <cell r="G14" t="str">
            <v>10:04</v>
          </cell>
        </row>
        <row r="15">
          <cell r="A15" t="str">
            <v>Bravline Ogutu</v>
          </cell>
          <cell r="B15">
            <v>9</v>
          </cell>
          <cell r="C15" t="str">
            <v>8,058.82</v>
          </cell>
          <cell r="D15">
            <v>0</v>
          </cell>
          <cell r="E15" t="str">
            <v>08:16</v>
          </cell>
          <cell r="F15" t="str">
            <v>08:29</v>
          </cell>
          <cell r="G15" t="str">
            <v>10:04</v>
          </cell>
        </row>
        <row r="16">
          <cell r="A16" t="str">
            <v>Caroline Muema</v>
          </cell>
          <cell r="B16">
            <v>0</v>
          </cell>
          <cell r="C16">
            <v>0</v>
          </cell>
          <cell r="D16">
            <v>0</v>
          </cell>
          <cell r="E16" t="str">
            <v/>
          </cell>
          <cell r="F16" t="str">
            <v/>
          </cell>
          <cell r="G16" t="str">
            <v/>
          </cell>
        </row>
        <row r="17">
          <cell r="A17" t="str">
            <v>Caroline Muthoni</v>
          </cell>
          <cell r="B17">
            <v>0</v>
          </cell>
          <cell r="C17">
            <v>0</v>
          </cell>
          <cell r="D17">
            <v>0</v>
          </cell>
          <cell r="E17" t="str">
            <v/>
          </cell>
          <cell r="F17" t="str">
            <v/>
          </cell>
          <cell r="G17" t="str">
            <v/>
          </cell>
        </row>
        <row r="18">
          <cell r="A18" t="str">
            <v>Caroline Mwangi</v>
          </cell>
          <cell r="B18">
            <v>3</v>
          </cell>
          <cell r="C18" t="str">
            <v>46,500.00</v>
          </cell>
          <cell r="D18" t="str">
            <v>6,000.00</v>
          </cell>
          <cell r="E18" t="str">
            <v>07:31</v>
          </cell>
          <cell r="F18" t="str">
            <v>07:45</v>
          </cell>
          <cell r="G18" t="str">
            <v>09:52</v>
          </cell>
        </row>
        <row r="19">
          <cell r="A19" t="str">
            <v>Caroline Njeri</v>
          </cell>
          <cell r="B19">
            <v>0</v>
          </cell>
          <cell r="C19">
            <v>0</v>
          </cell>
          <cell r="D19">
            <v>0</v>
          </cell>
          <cell r="E19" t="str">
            <v>08:03</v>
          </cell>
          <cell r="F19" t="str">
            <v>08:04</v>
          </cell>
          <cell r="G19" t="str">
            <v>08:58</v>
          </cell>
        </row>
        <row r="20">
          <cell r="A20" t="str">
            <v>Christopher Omondi</v>
          </cell>
          <cell r="B20">
            <v>15</v>
          </cell>
          <cell r="C20" t="str">
            <v>243,259.00</v>
          </cell>
          <cell r="D20">
            <v>0</v>
          </cell>
          <cell r="E20" t="str">
            <v>07:26</v>
          </cell>
          <cell r="F20" t="str">
            <v>07:37</v>
          </cell>
          <cell r="G20" t="str">
            <v>10:04</v>
          </cell>
        </row>
        <row r="21">
          <cell r="A21" t="str">
            <v>Collins Otieno</v>
          </cell>
          <cell r="B21">
            <v>5</v>
          </cell>
          <cell r="C21" t="str">
            <v>12,280.00</v>
          </cell>
          <cell r="D21">
            <v>0</v>
          </cell>
          <cell r="E21" t="str">
            <v>08:03</v>
          </cell>
          <cell r="F21" t="str">
            <v>08:07</v>
          </cell>
          <cell r="G21" t="str">
            <v>10:02</v>
          </cell>
        </row>
        <row r="22">
          <cell r="A22" t="str">
            <v>Dan Simiyu</v>
          </cell>
          <cell r="B22">
            <v>3</v>
          </cell>
          <cell r="C22" t="str">
            <v>68,000.00</v>
          </cell>
          <cell r="D22" t="str">
            <v>4,000.00</v>
          </cell>
          <cell r="E22" t="str">
            <v>07:49</v>
          </cell>
          <cell r="F22" t="str">
            <v>07:51</v>
          </cell>
          <cell r="G22" t="str">
            <v>09:59</v>
          </cell>
        </row>
        <row r="23">
          <cell r="A23" t="str">
            <v>Dennis Ndunga</v>
          </cell>
          <cell r="B23">
            <v>0</v>
          </cell>
          <cell r="C23">
            <v>0</v>
          </cell>
          <cell r="D23">
            <v>0</v>
          </cell>
          <cell r="E23" t="str">
            <v>08:25</v>
          </cell>
          <cell r="F23" t="str">
            <v>08:33</v>
          </cell>
          <cell r="G23" t="str">
            <v>09:47</v>
          </cell>
        </row>
        <row r="24">
          <cell r="A24" t="str">
            <v>Dickens Omollo</v>
          </cell>
          <cell r="B24">
            <v>10</v>
          </cell>
          <cell r="C24" t="str">
            <v>4,009.00</v>
          </cell>
          <cell r="D24">
            <v>0</v>
          </cell>
          <cell r="E24" t="str">
            <v>07:49</v>
          </cell>
          <cell r="F24" t="str">
            <v>08:03</v>
          </cell>
          <cell r="G24" t="str">
            <v>10:03</v>
          </cell>
        </row>
        <row r="25">
          <cell r="A25" t="str">
            <v>Doreen Kimani</v>
          </cell>
          <cell r="B25">
            <v>0</v>
          </cell>
          <cell r="C25">
            <v>0</v>
          </cell>
          <cell r="D25">
            <v>0</v>
          </cell>
          <cell r="E25" t="str">
            <v>08:29</v>
          </cell>
          <cell r="F25" t="str">
            <v>08:36</v>
          </cell>
          <cell r="G25" t="str">
            <v>10:04</v>
          </cell>
        </row>
        <row r="26">
          <cell r="A26" t="str">
            <v>Dorice Otieno</v>
          </cell>
          <cell r="B26">
            <v>6</v>
          </cell>
          <cell r="C26" t="str">
            <v>19,616.00</v>
          </cell>
          <cell r="D26">
            <v>0</v>
          </cell>
          <cell r="E26" t="str">
            <v>08:03</v>
          </cell>
          <cell r="F26" t="str">
            <v>08:37</v>
          </cell>
          <cell r="G26" t="str">
            <v>10:06</v>
          </cell>
        </row>
        <row r="27">
          <cell r="A27" t="str">
            <v>Edith Adhiambo</v>
          </cell>
          <cell r="B27">
            <v>0</v>
          </cell>
          <cell r="C27">
            <v>0</v>
          </cell>
          <cell r="D27">
            <v>0</v>
          </cell>
          <cell r="E27" t="str">
            <v/>
          </cell>
          <cell r="F27" t="str">
            <v/>
          </cell>
          <cell r="G27" t="str">
            <v/>
          </cell>
        </row>
        <row r="28">
          <cell r="A28" t="str">
            <v>Edmond Karanja</v>
          </cell>
          <cell r="B28">
            <v>0</v>
          </cell>
          <cell r="C28">
            <v>0</v>
          </cell>
          <cell r="D28">
            <v>0</v>
          </cell>
          <cell r="E28" t="str">
            <v>08:10</v>
          </cell>
          <cell r="F28" t="str">
            <v>08:15</v>
          </cell>
          <cell r="G28" t="str">
            <v>10:00</v>
          </cell>
        </row>
        <row r="29">
          <cell r="A29" t="str">
            <v>Elizabeth Okoth</v>
          </cell>
          <cell r="B29">
            <v>7</v>
          </cell>
          <cell r="C29" t="str">
            <v>6,787.00</v>
          </cell>
          <cell r="D29">
            <v>0</v>
          </cell>
          <cell r="E29" t="str">
            <v>08:03</v>
          </cell>
          <cell r="F29" t="str">
            <v>08:29</v>
          </cell>
          <cell r="G29" t="str">
            <v>10:05</v>
          </cell>
        </row>
        <row r="30">
          <cell r="A30" t="str">
            <v>Elizabeth Ondieki</v>
          </cell>
          <cell r="B30">
            <v>5</v>
          </cell>
          <cell r="C30" t="str">
            <v>30,511.00</v>
          </cell>
          <cell r="D30">
            <v>0</v>
          </cell>
          <cell r="E30" t="str">
            <v>08:32</v>
          </cell>
          <cell r="F30" t="str">
            <v>08:38</v>
          </cell>
          <cell r="G30" t="str">
            <v>09:56</v>
          </cell>
        </row>
        <row r="31">
          <cell r="A31" t="str">
            <v>Eugene Imbayi</v>
          </cell>
          <cell r="B31">
            <v>0</v>
          </cell>
          <cell r="C31">
            <v>0</v>
          </cell>
          <cell r="D31" t="str">
            <v>20,000.00</v>
          </cell>
          <cell r="E31" t="str">
            <v>08:15</v>
          </cell>
          <cell r="F31" t="str">
            <v>08:24</v>
          </cell>
          <cell r="G31" t="str">
            <v>09:58</v>
          </cell>
        </row>
        <row r="32">
          <cell r="A32" t="str">
            <v>Evance Maina</v>
          </cell>
          <cell r="B32">
            <v>0</v>
          </cell>
          <cell r="C32">
            <v>0</v>
          </cell>
          <cell r="D32">
            <v>0</v>
          </cell>
          <cell r="E32" t="str">
            <v/>
          </cell>
          <cell r="F32" t="str">
            <v/>
          </cell>
          <cell r="G32" t="str">
            <v/>
          </cell>
        </row>
        <row r="33">
          <cell r="A33" t="str">
            <v>Fidelis Wambui</v>
          </cell>
          <cell r="B33">
            <v>4</v>
          </cell>
          <cell r="C33" t="str">
            <v>17,755.00</v>
          </cell>
          <cell r="D33">
            <v>0</v>
          </cell>
          <cell r="E33" t="str">
            <v>07:56</v>
          </cell>
          <cell r="F33" t="str">
            <v>07:58</v>
          </cell>
          <cell r="G33" t="str">
            <v>10:05</v>
          </cell>
        </row>
        <row r="34">
          <cell r="A34" t="str">
            <v>Frankline Otieno</v>
          </cell>
          <cell r="B34">
            <v>0</v>
          </cell>
          <cell r="C34">
            <v>0</v>
          </cell>
          <cell r="D34">
            <v>0</v>
          </cell>
          <cell r="E34" t="str">
            <v>08:06</v>
          </cell>
          <cell r="F34" t="str">
            <v>08:19</v>
          </cell>
          <cell r="G34" t="str">
            <v>10:06</v>
          </cell>
        </row>
        <row r="35">
          <cell r="A35" t="str">
            <v>Fridah Kiende</v>
          </cell>
          <cell r="B35">
            <v>0</v>
          </cell>
          <cell r="C35">
            <v>0</v>
          </cell>
          <cell r="D35">
            <v>0</v>
          </cell>
          <cell r="E35" t="str">
            <v/>
          </cell>
          <cell r="F35" t="str">
            <v/>
          </cell>
          <cell r="G35" t="str">
            <v/>
          </cell>
        </row>
        <row r="36">
          <cell r="A36" t="str">
            <v>Gabriel Luseno</v>
          </cell>
          <cell r="B36">
            <v>2</v>
          </cell>
          <cell r="C36" t="str">
            <v>8,145.00</v>
          </cell>
          <cell r="D36">
            <v>0</v>
          </cell>
          <cell r="E36" t="str">
            <v>07:47</v>
          </cell>
          <cell r="F36" t="str">
            <v>07:51</v>
          </cell>
          <cell r="G36" t="str">
            <v>10:06</v>
          </cell>
        </row>
        <row r="37">
          <cell r="A37" t="str">
            <v>George Nandwa</v>
          </cell>
          <cell r="B37">
            <v>1</v>
          </cell>
          <cell r="C37" t="str">
            <v>183,000.00</v>
          </cell>
          <cell r="D37">
            <v>0</v>
          </cell>
          <cell r="E37" t="str">
            <v>08:23</v>
          </cell>
          <cell r="F37" t="str">
            <v>08:30</v>
          </cell>
          <cell r="G37" t="str">
            <v>09:24</v>
          </cell>
        </row>
        <row r="38">
          <cell r="A38" t="str">
            <v>Grace Chebet</v>
          </cell>
          <cell r="B38">
            <v>0</v>
          </cell>
          <cell r="C38">
            <v>0</v>
          </cell>
          <cell r="D38">
            <v>0</v>
          </cell>
          <cell r="E38" t="str">
            <v/>
          </cell>
          <cell r="F38" t="str">
            <v/>
          </cell>
          <cell r="G38" t="str">
            <v/>
          </cell>
        </row>
        <row r="39">
          <cell r="A39" t="str">
            <v>Grace Waigwe</v>
          </cell>
          <cell r="B39">
            <v>0</v>
          </cell>
          <cell r="C39">
            <v>0</v>
          </cell>
          <cell r="D39">
            <v>0</v>
          </cell>
          <cell r="E39" t="str">
            <v>08:08</v>
          </cell>
          <cell r="F39" t="str">
            <v>08:28</v>
          </cell>
          <cell r="G39" t="str">
            <v>09:37</v>
          </cell>
        </row>
        <row r="40">
          <cell r="A40" t="str">
            <v>Harriet Nyanchama</v>
          </cell>
          <cell r="B40">
            <v>7</v>
          </cell>
          <cell r="C40" t="str">
            <v>6,034.00</v>
          </cell>
          <cell r="D40">
            <v>0</v>
          </cell>
          <cell r="E40" t="str">
            <v>08:27</v>
          </cell>
          <cell r="F40" t="str">
            <v>08:38</v>
          </cell>
          <cell r="G40" t="str">
            <v>10:06</v>
          </cell>
        </row>
        <row r="41">
          <cell r="A41" t="str">
            <v>Hellen Wambui</v>
          </cell>
          <cell r="B41">
            <v>3</v>
          </cell>
          <cell r="C41" t="str">
            <v>21,500.00</v>
          </cell>
          <cell r="D41">
            <v>0</v>
          </cell>
          <cell r="E41" t="str">
            <v>08:17</v>
          </cell>
          <cell r="F41" t="str">
            <v>08:21</v>
          </cell>
          <cell r="G41" t="str">
            <v>10:03</v>
          </cell>
        </row>
        <row r="42">
          <cell r="A42" t="str">
            <v>Irene Njeri</v>
          </cell>
          <cell r="B42">
            <v>1</v>
          </cell>
          <cell r="C42" t="str">
            <v>1,739.71</v>
          </cell>
          <cell r="D42">
            <v>0</v>
          </cell>
          <cell r="E42" t="str">
            <v>07:19</v>
          </cell>
          <cell r="F42" t="str">
            <v>08:03</v>
          </cell>
          <cell r="G42" t="str">
            <v>10:06</v>
          </cell>
        </row>
        <row r="43">
          <cell r="A43" t="str">
            <v>Irine Khamila</v>
          </cell>
          <cell r="B43">
            <v>0</v>
          </cell>
          <cell r="C43">
            <v>0</v>
          </cell>
          <cell r="D43">
            <v>0</v>
          </cell>
          <cell r="E43" t="str">
            <v/>
          </cell>
          <cell r="F43" t="str">
            <v/>
          </cell>
          <cell r="G43" t="str">
            <v/>
          </cell>
        </row>
        <row r="44">
          <cell r="A44" t="str">
            <v>isaac Ngomo</v>
          </cell>
          <cell r="B44">
            <v>0</v>
          </cell>
          <cell r="C44">
            <v>0</v>
          </cell>
          <cell r="D44">
            <v>0</v>
          </cell>
          <cell r="E44" t="str">
            <v/>
          </cell>
          <cell r="F44" t="str">
            <v/>
          </cell>
          <cell r="G44" t="str">
            <v/>
          </cell>
        </row>
        <row r="45">
          <cell r="A45" t="str">
            <v>Jacob Omondi</v>
          </cell>
          <cell r="B45">
            <v>0</v>
          </cell>
          <cell r="C45">
            <v>0</v>
          </cell>
          <cell r="D45">
            <v>0</v>
          </cell>
          <cell r="E45" t="str">
            <v/>
          </cell>
          <cell r="F45" t="str">
            <v/>
          </cell>
          <cell r="G45" t="str">
            <v/>
          </cell>
        </row>
        <row r="46">
          <cell r="A46" t="str">
            <v>James Muthuri</v>
          </cell>
          <cell r="B46">
            <v>0</v>
          </cell>
          <cell r="C46">
            <v>0</v>
          </cell>
          <cell r="D46">
            <v>0</v>
          </cell>
          <cell r="E46" t="str">
            <v/>
          </cell>
          <cell r="F46" t="str">
            <v/>
          </cell>
          <cell r="G46" t="str">
            <v/>
          </cell>
        </row>
        <row r="47">
          <cell r="A47" t="str">
            <v>Joan Chepkoech</v>
          </cell>
          <cell r="B47">
            <v>3</v>
          </cell>
          <cell r="C47" t="str">
            <v>13,295.00</v>
          </cell>
          <cell r="D47">
            <v>0</v>
          </cell>
          <cell r="E47" t="str">
            <v>08:01</v>
          </cell>
          <cell r="F47" t="str">
            <v>08:08</v>
          </cell>
          <cell r="G47" t="str">
            <v>10:05</v>
          </cell>
        </row>
        <row r="48">
          <cell r="A48" t="str">
            <v>Joseph Mwaura</v>
          </cell>
          <cell r="B48">
            <v>6</v>
          </cell>
          <cell r="C48" t="str">
            <v>71,424.00</v>
          </cell>
          <cell r="D48">
            <v>0</v>
          </cell>
          <cell r="E48" t="str">
            <v>07:59</v>
          </cell>
          <cell r="F48" t="str">
            <v>08:04</v>
          </cell>
          <cell r="G48" t="str">
            <v>10:06</v>
          </cell>
        </row>
        <row r="49">
          <cell r="A49" t="str">
            <v>Joseph Omar</v>
          </cell>
          <cell r="B49">
            <v>3</v>
          </cell>
          <cell r="C49" t="str">
            <v>4,816.00</v>
          </cell>
          <cell r="D49">
            <v>0</v>
          </cell>
          <cell r="E49" t="str">
            <v>08:19</v>
          </cell>
          <cell r="F49" t="str">
            <v>08:28</v>
          </cell>
          <cell r="G49" t="str">
            <v>10:06</v>
          </cell>
        </row>
        <row r="50">
          <cell r="A50" t="str">
            <v>Josephat Abigah</v>
          </cell>
          <cell r="B50">
            <v>2</v>
          </cell>
          <cell r="C50" t="str">
            <v>23,638.00</v>
          </cell>
          <cell r="D50">
            <v>0</v>
          </cell>
          <cell r="E50" t="str">
            <v>08:12</v>
          </cell>
          <cell r="F50" t="str">
            <v>08:36</v>
          </cell>
          <cell r="G50" t="str">
            <v>09:45</v>
          </cell>
        </row>
        <row r="51">
          <cell r="A51" t="str">
            <v>Joshua Ossome</v>
          </cell>
          <cell r="B51">
            <v>17</v>
          </cell>
          <cell r="C51" t="str">
            <v>148,400.00</v>
          </cell>
          <cell r="D51" t="str">
            <v>120,571.24</v>
          </cell>
          <cell r="E51" t="str">
            <v>08:19</v>
          </cell>
          <cell r="F51" t="str">
            <v>08:40</v>
          </cell>
          <cell r="G51" t="str">
            <v>10:04</v>
          </cell>
        </row>
        <row r="52">
          <cell r="A52" t="str">
            <v>Josphat Munyoki</v>
          </cell>
          <cell r="B52">
            <v>0</v>
          </cell>
          <cell r="C52">
            <v>0</v>
          </cell>
          <cell r="D52">
            <v>0</v>
          </cell>
          <cell r="E52" t="str">
            <v/>
          </cell>
          <cell r="F52" t="str">
            <v/>
          </cell>
          <cell r="G52" t="str">
            <v/>
          </cell>
        </row>
        <row r="53">
          <cell r="A53" t="str">
            <v>Joyce Atieno</v>
          </cell>
          <cell r="B53">
            <v>2</v>
          </cell>
          <cell r="C53" t="str">
            <v>2,000.00</v>
          </cell>
          <cell r="D53">
            <v>0</v>
          </cell>
          <cell r="E53" t="str">
            <v>07:16</v>
          </cell>
          <cell r="F53" t="str">
            <v>07:24</v>
          </cell>
          <cell r="G53" t="str">
            <v>10:03</v>
          </cell>
        </row>
        <row r="54">
          <cell r="A54" t="str">
            <v>Judy Muli</v>
          </cell>
          <cell r="B54">
            <v>1</v>
          </cell>
          <cell r="C54">
            <v>606</v>
          </cell>
          <cell r="D54">
            <v>0</v>
          </cell>
          <cell r="E54" t="str">
            <v>08:10</v>
          </cell>
          <cell r="F54" t="str">
            <v>08:16</v>
          </cell>
          <cell r="G54" t="str">
            <v>10:02</v>
          </cell>
        </row>
        <row r="55">
          <cell r="A55" t="str">
            <v>Juliana Orwa</v>
          </cell>
          <cell r="B55">
            <v>12</v>
          </cell>
          <cell r="C55" t="str">
            <v>47,653.00</v>
          </cell>
          <cell r="D55">
            <v>0</v>
          </cell>
          <cell r="E55" t="str">
            <v>08:00</v>
          </cell>
          <cell r="F55" t="str">
            <v>08:21</v>
          </cell>
          <cell r="G55" t="str">
            <v>10:06</v>
          </cell>
        </row>
        <row r="56">
          <cell r="A56" t="str">
            <v>Juliet Awinja</v>
          </cell>
          <cell r="B56">
            <v>2</v>
          </cell>
          <cell r="C56">
            <v>400</v>
          </cell>
          <cell r="D56">
            <v>0</v>
          </cell>
          <cell r="E56" t="str">
            <v>08:14</v>
          </cell>
          <cell r="F56" t="str">
            <v>08:18</v>
          </cell>
          <cell r="G56" t="str">
            <v>10:05</v>
          </cell>
        </row>
        <row r="57">
          <cell r="A57" t="str">
            <v>Julius Macharia</v>
          </cell>
          <cell r="B57">
            <v>0</v>
          </cell>
          <cell r="C57">
            <v>0</v>
          </cell>
          <cell r="D57">
            <v>0</v>
          </cell>
          <cell r="E57" t="str">
            <v/>
          </cell>
          <cell r="F57" t="str">
            <v/>
          </cell>
          <cell r="G57" t="str">
            <v/>
          </cell>
        </row>
        <row r="58">
          <cell r="A58" t="str">
            <v>Karen Kajuju</v>
          </cell>
          <cell r="B58">
            <v>0</v>
          </cell>
          <cell r="C58">
            <v>0</v>
          </cell>
          <cell r="D58">
            <v>0</v>
          </cell>
          <cell r="E58" t="str">
            <v>08:38</v>
          </cell>
          <cell r="F58" t="str">
            <v>08:39</v>
          </cell>
          <cell r="G58" t="str">
            <v>09:35</v>
          </cell>
        </row>
        <row r="59">
          <cell r="A59" t="str">
            <v>kelvin koech</v>
          </cell>
          <cell r="B59">
            <v>4</v>
          </cell>
          <cell r="C59" t="str">
            <v>2,740.00</v>
          </cell>
          <cell r="D59">
            <v>0</v>
          </cell>
          <cell r="E59" t="str">
            <v>08:08</v>
          </cell>
          <cell r="F59" t="str">
            <v>08:28</v>
          </cell>
          <cell r="G59" t="str">
            <v>10:05</v>
          </cell>
        </row>
        <row r="60">
          <cell r="A60" t="str">
            <v>Kennedy Mwangi</v>
          </cell>
          <cell r="B60">
            <v>6</v>
          </cell>
          <cell r="C60" t="str">
            <v>27,543.00</v>
          </cell>
          <cell r="D60">
            <v>0</v>
          </cell>
          <cell r="E60" t="str">
            <v>07:46</v>
          </cell>
          <cell r="F60" t="str">
            <v>07:47</v>
          </cell>
          <cell r="G60" t="str">
            <v>10:06</v>
          </cell>
        </row>
        <row r="61">
          <cell r="A61" t="str">
            <v>Krestein Mwai</v>
          </cell>
          <cell r="B61">
            <v>1</v>
          </cell>
          <cell r="C61">
            <v>454.54</v>
          </cell>
          <cell r="D61">
            <v>0</v>
          </cell>
          <cell r="E61" t="str">
            <v>08:11</v>
          </cell>
          <cell r="F61" t="str">
            <v>08:14</v>
          </cell>
          <cell r="G61" t="str">
            <v>10:03</v>
          </cell>
        </row>
        <row r="62">
          <cell r="A62" t="str">
            <v>Lanoline Ogola</v>
          </cell>
          <cell r="B62">
            <v>6</v>
          </cell>
          <cell r="C62" t="str">
            <v>75,000.00</v>
          </cell>
          <cell r="D62">
            <v>0</v>
          </cell>
          <cell r="E62" t="str">
            <v>08:15</v>
          </cell>
          <cell r="F62" t="str">
            <v>08:32</v>
          </cell>
          <cell r="G62" t="str">
            <v>10:01</v>
          </cell>
        </row>
        <row r="63">
          <cell r="A63" t="str">
            <v>Laventar Nekesa</v>
          </cell>
          <cell r="B63">
            <v>3</v>
          </cell>
          <cell r="C63" t="str">
            <v>6,825.00</v>
          </cell>
          <cell r="D63">
            <v>0</v>
          </cell>
          <cell r="E63" t="str">
            <v>08:09</v>
          </cell>
          <cell r="F63" t="str">
            <v>08:23</v>
          </cell>
          <cell r="G63" t="str">
            <v>10:05</v>
          </cell>
        </row>
        <row r="64">
          <cell r="A64" t="str">
            <v>Lydiah Achieng</v>
          </cell>
          <cell r="B64">
            <v>9</v>
          </cell>
          <cell r="C64" t="str">
            <v>5,734.00</v>
          </cell>
          <cell r="D64">
            <v>0</v>
          </cell>
          <cell r="E64" t="str">
            <v>07:54</v>
          </cell>
          <cell r="F64" t="str">
            <v>08:22</v>
          </cell>
          <cell r="G64" t="str">
            <v>10:06</v>
          </cell>
        </row>
        <row r="65">
          <cell r="A65" t="str">
            <v>Macrine Odero</v>
          </cell>
          <cell r="B65">
            <v>36</v>
          </cell>
          <cell r="C65" t="str">
            <v>24,858.00</v>
          </cell>
          <cell r="D65">
            <v>0</v>
          </cell>
          <cell r="E65" t="str">
            <v>08:10</v>
          </cell>
          <cell r="F65" t="str">
            <v>08:22</v>
          </cell>
          <cell r="G65" t="str">
            <v>10:03</v>
          </cell>
        </row>
        <row r="66">
          <cell r="A66" t="str">
            <v>Margaret Muchoki</v>
          </cell>
          <cell r="B66">
            <v>8</v>
          </cell>
          <cell r="C66" t="str">
            <v>41,610.00</v>
          </cell>
          <cell r="D66">
            <v>0</v>
          </cell>
          <cell r="E66" t="str">
            <v>08:19</v>
          </cell>
          <cell r="F66" t="str">
            <v>08:26</v>
          </cell>
          <cell r="G66" t="str">
            <v>10:06</v>
          </cell>
        </row>
        <row r="67">
          <cell r="A67" t="str">
            <v>Margaret Mwawana</v>
          </cell>
          <cell r="B67">
            <v>5</v>
          </cell>
          <cell r="C67" t="str">
            <v>5,840.00</v>
          </cell>
          <cell r="D67">
            <v>0</v>
          </cell>
          <cell r="E67" t="str">
            <v>08:11</v>
          </cell>
          <cell r="F67" t="str">
            <v>08:16</v>
          </cell>
          <cell r="G67" t="str">
            <v>10:05</v>
          </cell>
        </row>
        <row r="68">
          <cell r="A68" t="str">
            <v>Marion Soita</v>
          </cell>
          <cell r="B68">
            <v>2</v>
          </cell>
          <cell r="C68" t="str">
            <v>6,690.00</v>
          </cell>
          <cell r="D68" t="str">
            <v>35,469.00</v>
          </cell>
          <cell r="E68" t="str">
            <v>07:49</v>
          </cell>
          <cell r="F68" t="str">
            <v>07:52</v>
          </cell>
          <cell r="G68" t="str">
            <v>10:04</v>
          </cell>
        </row>
        <row r="69">
          <cell r="A69" t="str">
            <v>Mark Mwendwa</v>
          </cell>
          <cell r="B69">
            <v>0</v>
          </cell>
          <cell r="C69">
            <v>0</v>
          </cell>
          <cell r="D69">
            <v>0</v>
          </cell>
          <cell r="E69" t="str">
            <v/>
          </cell>
          <cell r="F69" t="str">
            <v/>
          </cell>
          <cell r="G69" t="str">
            <v/>
          </cell>
        </row>
        <row r="70">
          <cell r="A70" t="str">
            <v>Martha Akinyi</v>
          </cell>
          <cell r="B70">
            <v>13</v>
          </cell>
          <cell r="C70" t="str">
            <v>53,956.00</v>
          </cell>
          <cell r="D70">
            <v>0</v>
          </cell>
          <cell r="E70" t="str">
            <v>07:45</v>
          </cell>
          <cell r="F70" t="str">
            <v>08:26</v>
          </cell>
          <cell r="G70" t="str">
            <v>10:06</v>
          </cell>
        </row>
        <row r="71">
          <cell r="A71" t="str">
            <v>Mary Coleta</v>
          </cell>
          <cell r="B71">
            <v>0</v>
          </cell>
          <cell r="C71">
            <v>0</v>
          </cell>
          <cell r="D71">
            <v>0</v>
          </cell>
          <cell r="E71" t="str">
            <v>08:08</v>
          </cell>
          <cell r="F71" t="str">
            <v>08:17</v>
          </cell>
          <cell r="G71" t="str">
            <v>09:12</v>
          </cell>
        </row>
        <row r="72">
          <cell r="A72" t="str">
            <v>Mary Wamaitha</v>
          </cell>
          <cell r="B72">
            <v>3</v>
          </cell>
          <cell r="C72" t="str">
            <v>53,919.00</v>
          </cell>
          <cell r="D72">
            <v>0</v>
          </cell>
          <cell r="E72" t="str">
            <v>08:15</v>
          </cell>
          <cell r="F72" t="str">
            <v>08:39</v>
          </cell>
          <cell r="G72" t="str">
            <v>09:52</v>
          </cell>
        </row>
        <row r="73">
          <cell r="A73" t="str">
            <v>Matex Wanjiru</v>
          </cell>
          <cell r="B73">
            <v>6</v>
          </cell>
          <cell r="C73" t="str">
            <v>2,445.00</v>
          </cell>
          <cell r="D73">
            <v>0</v>
          </cell>
          <cell r="E73" t="str">
            <v>08:18</v>
          </cell>
          <cell r="F73" t="str">
            <v>08:23</v>
          </cell>
          <cell r="G73" t="str">
            <v>09:59</v>
          </cell>
        </row>
        <row r="74">
          <cell r="A74" t="str">
            <v>Maureen Njoroge</v>
          </cell>
          <cell r="B74">
            <v>0</v>
          </cell>
          <cell r="C74">
            <v>0</v>
          </cell>
          <cell r="D74">
            <v>0</v>
          </cell>
          <cell r="E74" t="str">
            <v/>
          </cell>
          <cell r="F74" t="str">
            <v/>
          </cell>
          <cell r="G74" t="str">
            <v/>
          </cell>
        </row>
        <row r="75">
          <cell r="A75" t="str">
            <v>Mercy Achieng</v>
          </cell>
          <cell r="B75">
            <v>0</v>
          </cell>
          <cell r="C75">
            <v>0</v>
          </cell>
          <cell r="D75">
            <v>0</v>
          </cell>
          <cell r="E75" t="str">
            <v>08:03</v>
          </cell>
          <cell r="F75" t="str">
            <v>08:25</v>
          </cell>
          <cell r="G75" t="str">
            <v>10:05</v>
          </cell>
        </row>
        <row r="76">
          <cell r="A76" t="str">
            <v>Monicah Kanini</v>
          </cell>
          <cell r="B76">
            <v>2</v>
          </cell>
          <cell r="C76" t="str">
            <v>124,039.00</v>
          </cell>
          <cell r="D76">
            <v>0</v>
          </cell>
          <cell r="E76" t="str">
            <v>08:12</v>
          </cell>
          <cell r="F76" t="str">
            <v>08:18</v>
          </cell>
          <cell r="G76" t="str">
            <v>08:46</v>
          </cell>
        </row>
        <row r="77">
          <cell r="A77" t="str">
            <v>Nancy Awour</v>
          </cell>
          <cell r="B77">
            <v>4</v>
          </cell>
          <cell r="C77" t="str">
            <v>1,556.00</v>
          </cell>
          <cell r="D77">
            <v>0</v>
          </cell>
          <cell r="E77" t="str">
            <v>08:12</v>
          </cell>
          <cell r="F77" t="str">
            <v>08:13</v>
          </cell>
          <cell r="G77" t="str">
            <v>09:46</v>
          </cell>
        </row>
        <row r="78">
          <cell r="A78" t="str">
            <v>Nancy Muthoni</v>
          </cell>
          <cell r="B78">
            <v>0</v>
          </cell>
          <cell r="C78">
            <v>0</v>
          </cell>
          <cell r="D78">
            <v>0</v>
          </cell>
          <cell r="E78" t="str">
            <v>08:11</v>
          </cell>
          <cell r="F78" t="str">
            <v>08:16</v>
          </cell>
          <cell r="G78" t="str">
            <v>09:55</v>
          </cell>
        </row>
        <row r="79">
          <cell r="A79" t="str">
            <v>Nellias Onyapidi</v>
          </cell>
          <cell r="B79">
            <v>1</v>
          </cell>
          <cell r="C79">
            <v>500</v>
          </cell>
          <cell r="D79">
            <v>500</v>
          </cell>
          <cell r="E79" t="str">
            <v>08:04</v>
          </cell>
          <cell r="F79" t="str">
            <v>08:12</v>
          </cell>
          <cell r="G79" t="str">
            <v>10:04</v>
          </cell>
        </row>
        <row r="80">
          <cell r="A80" t="str">
            <v>Nicholas Otieno</v>
          </cell>
          <cell r="B80">
            <v>4</v>
          </cell>
          <cell r="C80" t="str">
            <v>4,205.00</v>
          </cell>
          <cell r="D80">
            <v>0</v>
          </cell>
          <cell r="E80" t="str">
            <v>08:14</v>
          </cell>
          <cell r="F80" t="str">
            <v>08:21</v>
          </cell>
          <cell r="G80" t="str">
            <v>10:06</v>
          </cell>
        </row>
        <row r="81">
          <cell r="A81" t="str">
            <v>Oscar Mandu</v>
          </cell>
          <cell r="B81">
            <v>4</v>
          </cell>
          <cell r="C81" t="str">
            <v>20,000.00</v>
          </cell>
          <cell r="D81">
            <v>0</v>
          </cell>
          <cell r="E81" t="str">
            <v>08:18</v>
          </cell>
          <cell r="F81" t="str">
            <v>08:37</v>
          </cell>
          <cell r="G81" t="str">
            <v>10:06</v>
          </cell>
        </row>
        <row r="82">
          <cell r="A82" t="str">
            <v>Oscar Omondi</v>
          </cell>
          <cell r="B82">
            <v>1</v>
          </cell>
          <cell r="C82" t="str">
            <v>3,000.00</v>
          </cell>
          <cell r="D82">
            <v>0</v>
          </cell>
          <cell r="E82" t="str">
            <v>08:17</v>
          </cell>
          <cell r="F82" t="str">
            <v>08:20</v>
          </cell>
          <cell r="G82" t="str">
            <v>10:04</v>
          </cell>
        </row>
        <row r="83">
          <cell r="A83" t="str">
            <v>Phillimon Nyongesa</v>
          </cell>
          <cell r="B83">
            <v>3</v>
          </cell>
          <cell r="C83" t="str">
            <v>21,895.00</v>
          </cell>
          <cell r="D83">
            <v>0</v>
          </cell>
          <cell r="E83" t="str">
            <v>08:18</v>
          </cell>
          <cell r="F83" t="str">
            <v>08:21</v>
          </cell>
          <cell r="G83" t="str">
            <v>09:59</v>
          </cell>
        </row>
        <row r="84">
          <cell r="A84" t="str">
            <v>Purity Chege</v>
          </cell>
          <cell r="B84">
            <v>3</v>
          </cell>
          <cell r="C84" t="str">
            <v>2,000.00</v>
          </cell>
          <cell r="D84">
            <v>0</v>
          </cell>
          <cell r="E84" t="str">
            <v>08:09</v>
          </cell>
          <cell r="F84" t="str">
            <v>08:12</v>
          </cell>
          <cell r="G84" t="str">
            <v>10:05</v>
          </cell>
        </row>
        <row r="85">
          <cell r="A85" t="str">
            <v>Rodgers Ochieng</v>
          </cell>
          <cell r="B85">
            <v>8</v>
          </cell>
          <cell r="C85" t="str">
            <v>12,645.00</v>
          </cell>
          <cell r="D85">
            <v>0</v>
          </cell>
          <cell r="E85" t="str">
            <v>08:21</v>
          </cell>
          <cell r="F85" t="str">
            <v>08:26</v>
          </cell>
          <cell r="G85" t="str">
            <v>10:06</v>
          </cell>
        </row>
        <row r="86">
          <cell r="A86" t="str">
            <v>Ronald Ombeche</v>
          </cell>
          <cell r="B86">
            <v>0</v>
          </cell>
          <cell r="C86">
            <v>0</v>
          </cell>
          <cell r="D86" t="str">
            <v>3,784.74</v>
          </cell>
          <cell r="E86" t="str">
            <v>08:01</v>
          </cell>
          <cell r="F86" t="str">
            <v>08:04</v>
          </cell>
          <cell r="G86" t="str">
            <v>09:50</v>
          </cell>
        </row>
        <row r="87">
          <cell r="A87" t="str">
            <v>Rosemary Okumu</v>
          </cell>
          <cell r="B87">
            <v>0</v>
          </cell>
          <cell r="C87">
            <v>0</v>
          </cell>
          <cell r="D87">
            <v>0</v>
          </cell>
          <cell r="E87" t="str">
            <v/>
          </cell>
          <cell r="F87" t="str">
            <v/>
          </cell>
          <cell r="G87" t="str">
            <v/>
          </cell>
        </row>
        <row r="88">
          <cell r="A88" t="str">
            <v>Ruth Njambi</v>
          </cell>
          <cell r="B88">
            <v>2</v>
          </cell>
          <cell r="C88" t="str">
            <v>18,000.00</v>
          </cell>
          <cell r="D88">
            <v>0</v>
          </cell>
          <cell r="E88" t="str">
            <v>09:17</v>
          </cell>
          <cell r="F88" t="str">
            <v>09:28</v>
          </cell>
          <cell r="G88" t="str">
            <v>09:59</v>
          </cell>
        </row>
        <row r="89">
          <cell r="A89" t="str">
            <v>Ruth Sitati</v>
          </cell>
          <cell r="B89">
            <v>1</v>
          </cell>
          <cell r="C89" t="str">
            <v>10,000.00</v>
          </cell>
          <cell r="D89">
            <v>0</v>
          </cell>
          <cell r="E89" t="str">
            <v>08:39</v>
          </cell>
          <cell r="F89" t="str">
            <v>08:50</v>
          </cell>
          <cell r="G89" t="str">
            <v>10:02</v>
          </cell>
        </row>
        <row r="90">
          <cell r="A90" t="str">
            <v>Sharon Atieno</v>
          </cell>
          <cell r="B90">
            <v>0</v>
          </cell>
          <cell r="C90">
            <v>0</v>
          </cell>
          <cell r="D90">
            <v>0</v>
          </cell>
          <cell r="E90" t="str">
            <v>08:04</v>
          </cell>
          <cell r="F90" t="str">
            <v>08:20</v>
          </cell>
          <cell r="G90" t="str">
            <v>10:06</v>
          </cell>
        </row>
        <row r="91">
          <cell r="A91" t="str">
            <v>Sheila Lumumba</v>
          </cell>
          <cell r="B91">
            <v>0</v>
          </cell>
          <cell r="C91">
            <v>0</v>
          </cell>
          <cell r="D91">
            <v>0</v>
          </cell>
          <cell r="E91" t="str">
            <v/>
          </cell>
          <cell r="F91" t="str">
            <v/>
          </cell>
          <cell r="G91" t="str">
            <v/>
          </cell>
        </row>
        <row r="92">
          <cell r="A92" t="str">
            <v>Stephen Odhiambo</v>
          </cell>
          <cell r="B92">
            <v>15</v>
          </cell>
          <cell r="C92" t="str">
            <v>29,400.00</v>
          </cell>
          <cell r="D92">
            <v>0</v>
          </cell>
          <cell r="E92" t="str">
            <v>07:50</v>
          </cell>
          <cell r="F92" t="str">
            <v>07:55</v>
          </cell>
          <cell r="G92" t="str">
            <v>10:00</v>
          </cell>
        </row>
        <row r="93">
          <cell r="A93" t="str">
            <v>Susan Muyonga</v>
          </cell>
          <cell r="B93">
            <v>0</v>
          </cell>
          <cell r="C93">
            <v>0</v>
          </cell>
          <cell r="D93">
            <v>0</v>
          </cell>
          <cell r="E93" t="str">
            <v>08:20</v>
          </cell>
          <cell r="F93" t="str">
            <v>08:30</v>
          </cell>
          <cell r="G93" t="str">
            <v>10:01</v>
          </cell>
        </row>
        <row r="94">
          <cell r="A94" t="str">
            <v>Susan Odhiambo</v>
          </cell>
          <cell r="B94">
            <v>16</v>
          </cell>
          <cell r="C94" t="str">
            <v>28,400.00</v>
          </cell>
          <cell r="D94">
            <v>0</v>
          </cell>
          <cell r="E94" t="str">
            <v>08:24</v>
          </cell>
          <cell r="F94" t="str">
            <v>08:27</v>
          </cell>
          <cell r="G94" t="str">
            <v>10:04</v>
          </cell>
        </row>
        <row r="95">
          <cell r="A95" t="str">
            <v>Tonny Odhiambo</v>
          </cell>
          <cell r="B95">
            <v>2</v>
          </cell>
          <cell r="C95" t="str">
            <v>13,155.00</v>
          </cell>
          <cell r="D95">
            <v>0</v>
          </cell>
          <cell r="E95" t="str">
            <v>08:03</v>
          </cell>
          <cell r="F95" t="str">
            <v>08:23</v>
          </cell>
          <cell r="G95" t="str">
            <v>10:06</v>
          </cell>
        </row>
        <row r="96">
          <cell r="A96" t="str">
            <v>Valary Agak</v>
          </cell>
          <cell r="B96">
            <v>4</v>
          </cell>
          <cell r="C96" t="str">
            <v>5,661.00</v>
          </cell>
          <cell r="D96">
            <v>0</v>
          </cell>
          <cell r="E96" t="str">
            <v>08:24</v>
          </cell>
          <cell r="F96" t="str">
            <v>08:34</v>
          </cell>
          <cell r="G96" t="str">
            <v>10:04</v>
          </cell>
        </row>
        <row r="97">
          <cell r="A97" t="str">
            <v>Veronicah Achieng</v>
          </cell>
          <cell r="B97">
            <v>6</v>
          </cell>
          <cell r="C97" t="str">
            <v>6,503.52</v>
          </cell>
          <cell r="D97">
            <v>0</v>
          </cell>
          <cell r="E97" t="str">
            <v>08:02</v>
          </cell>
          <cell r="F97" t="str">
            <v>08:26</v>
          </cell>
          <cell r="G97" t="str">
            <v>10:03</v>
          </cell>
        </row>
        <row r="98">
          <cell r="A98" t="str">
            <v>Victor Odwar</v>
          </cell>
          <cell r="B98">
            <v>3</v>
          </cell>
          <cell r="C98" t="str">
            <v>1,117.00</v>
          </cell>
          <cell r="D98">
            <v>0</v>
          </cell>
          <cell r="E98" t="str">
            <v>08:18</v>
          </cell>
          <cell r="F98" t="str">
            <v>08:25</v>
          </cell>
          <cell r="G98" t="str">
            <v>10:06</v>
          </cell>
        </row>
        <row r="99">
          <cell r="A99" t="str">
            <v>Victor Otieno</v>
          </cell>
          <cell r="B99">
            <v>1</v>
          </cell>
          <cell r="C99" t="str">
            <v>2,000.00</v>
          </cell>
          <cell r="D99" t="str">
            <v>2,000.00</v>
          </cell>
          <cell r="E99" t="str">
            <v>08:24</v>
          </cell>
          <cell r="F99" t="str">
            <v>08:36</v>
          </cell>
          <cell r="G99" t="str">
            <v>09:50</v>
          </cell>
        </row>
        <row r="100">
          <cell r="A100" t="str">
            <v>Wairimu Jane</v>
          </cell>
          <cell r="B100">
            <v>7</v>
          </cell>
          <cell r="C100" t="str">
            <v>20,000.00</v>
          </cell>
          <cell r="D100">
            <v>0</v>
          </cell>
          <cell r="E100" t="str">
            <v>08:24</v>
          </cell>
          <cell r="F100" t="str">
            <v>08:30</v>
          </cell>
          <cell r="G100" t="str">
            <v>09:53</v>
          </cell>
        </row>
        <row r="101">
          <cell r="A101" t="str">
            <v>Wambui Margaret</v>
          </cell>
          <cell r="B101">
            <v>14</v>
          </cell>
          <cell r="C101" t="str">
            <v>38,470.00</v>
          </cell>
          <cell r="D101">
            <v>0</v>
          </cell>
          <cell r="E101" t="str">
            <v>07:56</v>
          </cell>
          <cell r="F101" t="str">
            <v>07:57</v>
          </cell>
          <cell r="G101" t="str">
            <v>10:06</v>
          </cell>
        </row>
        <row r="102">
          <cell r="A102" t="str">
            <v>Wilfred Onyango</v>
          </cell>
          <cell r="B102">
            <v>0</v>
          </cell>
          <cell r="C102">
            <v>0</v>
          </cell>
          <cell r="D102">
            <v>0</v>
          </cell>
          <cell r="E102" t="str">
            <v/>
          </cell>
          <cell r="F102" t="str">
            <v/>
          </cell>
          <cell r="G102" t="str">
            <v/>
          </cell>
        </row>
        <row r="103">
          <cell r="A103" t="str">
            <v>William Obuya</v>
          </cell>
          <cell r="B103">
            <v>0</v>
          </cell>
          <cell r="C103">
            <v>0</v>
          </cell>
          <cell r="D103">
            <v>0</v>
          </cell>
          <cell r="E103" t="str">
            <v>08:03</v>
          </cell>
          <cell r="F103" t="str">
            <v>08:05</v>
          </cell>
          <cell r="G103" t="str">
            <v>09:54</v>
          </cell>
        </row>
        <row r="104">
          <cell r="A104" t="str">
            <v>winstone Muyegu</v>
          </cell>
          <cell r="B104">
            <v>0</v>
          </cell>
          <cell r="C104">
            <v>0</v>
          </cell>
          <cell r="D104">
            <v>0</v>
          </cell>
          <cell r="E104" t="str">
            <v>07:55</v>
          </cell>
          <cell r="F104" t="str">
            <v>08:11</v>
          </cell>
          <cell r="G104" t="str">
            <v>09:56</v>
          </cell>
        </row>
        <row r="105">
          <cell r="A105" t="str">
            <v>Zeldah Kwamboka</v>
          </cell>
          <cell r="B105">
            <v>7</v>
          </cell>
          <cell r="C105" t="str">
            <v>20,326.00</v>
          </cell>
          <cell r="D105">
            <v>0</v>
          </cell>
          <cell r="E105" t="str">
            <v>07:48</v>
          </cell>
          <cell r="F105" t="str">
            <v>08:09</v>
          </cell>
          <cell r="G105" t="str">
            <v>10:05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98"/>
  <sheetViews>
    <sheetView tabSelected="1" zoomScale="80" zoomScaleNormal="80" workbookViewId="0">
      <selection activeCell="A81" sqref="A81:H91"/>
    </sheetView>
  </sheetViews>
  <sheetFormatPr defaultRowHeight="14.5" x14ac:dyDescent="0.35"/>
  <cols>
    <col min="1" max="1" width="22.81640625" bestFit="1" customWidth="1"/>
    <col min="2" max="2" width="7" customWidth="1"/>
    <col min="3" max="3" width="40" customWidth="1"/>
    <col min="4" max="4" width="16.26953125" bestFit="1" customWidth="1"/>
    <col min="5" max="5" width="16.81640625" bestFit="1" customWidth="1"/>
    <col min="6" max="6" width="14.7265625" style="1" bestFit="1" customWidth="1"/>
    <col min="7" max="7" width="18.54296875" bestFit="1" customWidth="1"/>
    <col min="8" max="8" width="15.453125" bestFit="1" customWidth="1"/>
    <col min="9" max="9" width="22.1796875" bestFit="1" customWidth="1"/>
    <col min="10" max="10" width="21" style="12" bestFit="1" customWidth="1"/>
    <col min="11" max="11" width="27.7265625" bestFit="1" customWidth="1"/>
    <col min="12" max="12" width="24.453125" bestFit="1" customWidth="1"/>
    <col min="13" max="13" width="21.7265625" bestFit="1" customWidth="1"/>
    <col min="14" max="14" width="15.81640625" bestFit="1" customWidth="1"/>
    <col min="15" max="15" width="11.81640625" style="10" bestFit="1" customWidth="1"/>
    <col min="16" max="16" width="17.1796875" bestFit="1" customWidth="1"/>
    <col min="17" max="17" width="18.453125" bestFit="1" customWidth="1"/>
  </cols>
  <sheetData>
    <row r="1" spans="1:17" ht="16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9" t="s">
        <v>14</v>
      </c>
      <c r="P1" s="8" t="s">
        <v>15</v>
      </c>
      <c r="Q1" s="8" t="s">
        <v>16</v>
      </c>
    </row>
    <row r="2" spans="1:17" hidden="1" x14ac:dyDescent="0.35">
      <c r="A2" t="s">
        <v>41</v>
      </c>
      <c r="B2">
        <v>1097</v>
      </c>
      <c r="C2" t="s">
        <v>42</v>
      </c>
      <c r="D2" t="s">
        <v>31</v>
      </c>
      <c r="E2" t="s">
        <v>32</v>
      </c>
      <c r="F2" s="1">
        <v>45782</v>
      </c>
      <c r="G2" t="s">
        <v>21</v>
      </c>
      <c r="H2" t="s">
        <v>28</v>
      </c>
      <c r="I2">
        <v>60</v>
      </c>
      <c r="J2" s="12">
        <v>170000</v>
      </c>
      <c r="K2">
        <f>VLOOKUP(A2,[1]Sheet1!$A:$B,2,0)</f>
        <v>17</v>
      </c>
      <c r="L2" t="str">
        <f>VLOOKUP(A2,[1]Sheet1!$A:$C,3,0)</f>
        <v>148,400.00</v>
      </c>
      <c r="M2">
        <f t="shared" ref="M2:M33" si="0">IF(I2&gt;K2,I2-K2,0)</f>
        <v>43</v>
      </c>
      <c r="N2" s="11">
        <f t="shared" ref="N2:N33" si="1">L2/J2</f>
        <v>0.87294117647058822</v>
      </c>
      <c r="O2" s="10" t="str">
        <f>VLOOKUP(A2,[1]Sheet1!$A:$E,5,0)</f>
        <v>08:19</v>
      </c>
      <c r="P2" t="str">
        <f>VLOOKUP(A2,[1]Sheet1!$A:$F,6,0)</f>
        <v>08:40</v>
      </c>
      <c r="Q2" t="str">
        <f>VLOOKUP(A2,[1]Sheet1!$A:$G,7,0)</f>
        <v>10:04</v>
      </c>
    </row>
    <row r="3" spans="1:17" hidden="1" x14ac:dyDescent="0.35">
      <c r="A3" t="s">
        <v>102</v>
      </c>
      <c r="B3">
        <v>1067</v>
      </c>
      <c r="C3" t="s">
        <v>103</v>
      </c>
      <c r="D3" t="s">
        <v>85</v>
      </c>
      <c r="E3" t="s">
        <v>86</v>
      </c>
      <c r="F3" s="1">
        <v>45315</v>
      </c>
      <c r="G3" t="s">
        <v>21</v>
      </c>
      <c r="H3" t="s">
        <v>33</v>
      </c>
      <c r="I3">
        <v>150</v>
      </c>
      <c r="J3" s="12">
        <v>230138.880093391</v>
      </c>
      <c r="K3">
        <f>VLOOKUP(A3,[1]Sheet1!$A:$B,2,0)</f>
        <v>16</v>
      </c>
      <c r="L3" t="str">
        <f>VLOOKUP(A3,[1]Sheet1!$A:$C,3,0)</f>
        <v>28,400.00</v>
      </c>
      <c r="M3">
        <f t="shared" si="0"/>
        <v>134</v>
      </c>
      <c r="N3" s="11">
        <f t="shared" si="1"/>
        <v>0.12340374641814196</v>
      </c>
      <c r="O3" s="10" t="str">
        <f>VLOOKUP(A3,[1]Sheet1!$A:$E,5,0)</f>
        <v>08:24</v>
      </c>
      <c r="P3" t="str">
        <f>VLOOKUP(A3,[1]Sheet1!$A:$F,6,0)</f>
        <v>08:27</v>
      </c>
      <c r="Q3" t="str">
        <f>VLOOKUP(A3,[1]Sheet1!$A:$G,7,0)</f>
        <v>10:04</v>
      </c>
    </row>
    <row r="4" spans="1:17" hidden="1" x14ac:dyDescent="0.35">
      <c r="A4" t="s">
        <v>29</v>
      </c>
      <c r="B4">
        <v>1052</v>
      </c>
      <c r="C4" t="s">
        <v>30</v>
      </c>
      <c r="D4" t="s">
        <v>31</v>
      </c>
      <c r="E4" t="s">
        <v>32</v>
      </c>
      <c r="F4" s="1">
        <v>45688</v>
      </c>
      <c r="G4" t="s">
        <v>21</v>
      </c>
      <c r="H4" t="s">
        <v>33</v>
      </c>
      <c r="I4">
        <v>150</v>
      </c>
      <c r="J4" s="12">
        <v>216666.66666666701</v>
      </c>
      <c r="K4">
        <f>VLOOKUP(A4,[1]Sheet1!$A:$B,2,0)</f>
        <v>15</v>
      </c>
      <c r="L4" t="str">
        <f>VLOOKUP(A4,[1]Sheet1!$A:$C,3,0)</f>
        <v>29,400.00</v>
      </c>
      <c r="M4">
        <f t="shared" si="0"/>
        <v>135</v>
      </c>
      <c r="N4" s="11">
        <f t="shared" si="1"/>
        <v>0.13569230769230747</v>
      </c>
      <c r="O4" s="10" t="str">
        <f>VLOOKUP(A4,[1]Sheet1!$A:$E,5,0)</f>
        <v>07:50</v>
      </c>
      <c r="P4" t="str">
        <f>VLOOKUP(A4,[1]Sheet1!$A:$F,6,0)</f>
        <v>07:55</v>
      </c>
      <c r="Q4" t="str">
        <f>VLOOKUP(A4,[1]Sheet1!$A:$G,7,0)</f>
        <v>10:00</v>
      </c>
    </row>
    <row r="5" spans="1:17" hidden="1" x14ac:dyDescent="0.35">
      <c r="A5" t="s">
        <v>54</v>
      </c>
      <c r="B5">
        <v>1111</v>
      </c>
      <c r="C5" t="s">
        <v>55</v>
      </c>
      <c r="D5" t="s">
        <v>56</v>
      </c>
      <c r="E5" s="1" t="s">
        <v>32</v>
      </c>
      <c r="F5" s="1">
        <v>45895</v>
      </c>
      <c r="G5" t="s">
        <v>21</v>
      </c>
      <c r="H5" t="s">
        <v>22</v>
      </c>
      <c r="I5">
        <v>150</v>
      </c>
      <c r="J5" s="12">
        <v>219166.66666666701</v>
      </c>
      <c r="K5">
        <f>VLOOKUP(A5,[1]Sheet1!$A:$B,2,0)</f>
        <v>15</v>
      </c>
      <c r="L5" t="str">
        <f>VLOOKUP(A5,[1]Sheet1!$A:$C,3,0)</f>
        <v>243,259.00</v>
      </c>
      <c r="M5">
        <f t="shared" si="0"/>
        <v>135</v>
      </c>
      <c r="N5" s="11">
        <f t="shared" si="1"/>
        <v>1.109926996197717</v>
      </c>
      <c r="O5" s="10" t="str">
        <f>VLOOKUP(A5,[1]Sheet1!$A:$E,5,0)</f>
        <v>07:26</v>
      </c>
      <c r="P5" t="str">
        <f>VLOOKUP(A5,[1]Sheet1!$A:$F,6,0)</f>
        <v>07:37</v>
      </c>
      <c r="Q5" t="str">
        <f>VLOOKUP(A5,[1]Sheet1!$A:$G,7,0)</f>
        <v>10:04</v>
      </c>
    </row>
    <row r="6" spans="1:17" hidden="1" x14ac:dyDescent="0.35">
      <c r="A6" t="s">
        <v>97</v>
      </c>
      <c r="B6">
        <v>1059</v>
      </c>
      <c r="C6" t="s">
        <v>51</v>
      </c>
      <c r="D6" t="s">
        <v>85</v>
      </c>
      <c r="E6" t="s">
        <v>86</v>
      </c>
      <c r="F6" s="1">
        <v>45735</v>
      </c>
      <c r="G6" t="s">
        <v>21</v>
      </c>
      <c r="H6" t="s">
        <v>33</v>
      </c>
      <c r="I6">
        <v>150</v>
      </c>
      <c r="J6" s="12">
        <v>217466.36372841499</v>
      </c>
      <c r="K6">
        <f>VLOOKUP(A6,[1]Sheet1!$A:$B,2,0)</f>
        <v>14</v>
      </c>
      <c r="L6" t="str">
        <f>VLOOKUP(A6,[1]Sheet1!$A:$C,3,0)</f>
        <v>38,470.00</v>
      </c>
      <c r="M6">
        <f t="shared" si="0"/>
        <v>136</v>
      </c>
      <c r="N6" s="11">
        <f t="shared" si="1"/>
        <v>0.17690092086169076</v>
      </c>
      <c r="O6" s="10" t="str">
        <f>VLOOKUP(A6,[1]Sheet1!$A:$E,5,0)</f>
        <v>07:56</v>
      </c>
      <c r="P6" t="str">
        <f>VLOOKUP(A6,[1]Sheet1!$A:$F,6,0)</f>
        <v>07:57</v>
      </c>
      <c r="Q6" t="str">
        <f>VLOOKUP(A6,[1]Sheet1!$A:$G,7,0)</f>
        <v>10:06</v>
      </c>
    </row>
    <row r="7" spans="1:17" hidden="1" x14ac:dyDescent="0.35">
      <c r="A7" t="s">
        <v>69</v>
      </c>
      <c r="B7">
        <v>1093</v>
      </c>
      <c r="C7" t="s">
        <v>70</v>
      </c>
      <c r="D7" t="s">
        <v>56</v>
      </c>
      <c r="E7" t="s">
        <v>32</v>
      </c>
      <c r="F7" s="1">
        <v>45824.429781354163</v>
      </c>
      <c r="G7" t="s">
        <v>21</v>
      </c>
      <c r="H7" t="s">
        <v>22</v>
      </c>
      <c r="I7">
        <v>150</v>
      </c>
      <c r="J7" s="12">
        <v>173635.23905999999</v>
      </c>
      <c r="K7">
        <f>VLOOKUP(A7,[1]Sheet1!$A:$B,2,0)</f>
        <v>13</v>
      </c>
      <c r="L7" t="str">
        <f>VLOOKUP(A7,[1]Sheet1!$A:$C,3,0)</f>
        <v>53,956.00</v>
      </c>
      <c r="M7">
        <f t="shared" si="0"/>
        <v>137</v>
      </c>
      <c r="N7" s="11">
        <f t="shared" si="1"/>
        <v>0.31074337382261097</v>
      </c>
      <c r="O7" s="10" t="str">
        <f>VLOOKUP(A7,[1]Sheet1!$A:$E,5,0)</f>
        <v>07:45</v>
      </c>
      <c r="P7" t="str">
        <f>VLOOKUP(A7,[1]Sheet1!$A:$F,6,0)</f>
        <v>08:26</v>
      </c>
      <c r="Q7" t="str">
        <f>VLOOKUP(A7,[1]Sheet1!$A:$G,7,0)</f>
        <v>10:06</v>
      </c>
    </row>
    <row r="8" spans="1:17" hidden="1" x14ac:dyDescent="0.35">
      <c r="A8" t="s">
        <v>50</v>
      </c>
      <c r="B8">
        <v>1049</v>
      </c>
      <c r="C8" t="s">
        <v>51</v>
      </c>
      <c r="D8" t="s">
        <v>31</v>
      </c>
      <c r="E8" t="s">
        <v>32</v>
      </c>
      <c r="F8" s="1">
        <v>44685</v>
      </c>
      <c r="G8" t="s">
        <v>21</v>
      </c>
      <c r="H8" t="s">
        <v>49</v>
      </c>
      <c r="I8">
        <v>105</v>
      </c>
      <c r="J8" s="12">
        <v>171135.23905999999</v>
      </c>
      <c r="K8">
        <f>VLOOKUP(A8,[1]Sheet1!$A:$B,2,0)</f>
        <v>12</v>
      </c>
      <c r="L8" t="str">
        <f>VLOOKUP(A8,[1]Sheet1!$A:$C,3,0)</f>
        <v>47,653.00</v>
      </c>
      <c r="M8">
        <f t="shared" si="0"/>
        <v>93</v>
      </c>
      <c r="N8" s="11">
        <f t="shared" si="1"/>
        <v>0.27845229458143839</v>
      </c>
      <c r="O8" s="10" t="str">
        <f>VLOOKUP(A8,[1]Sheet1!$A:$E,5,0)</f>
        <v>08:00</v>
      </c>
      <c r="P8" t="str">
        <f>VLOOKUP(A8,[1]Sheet1!$A:$F,6,0)</f>
        <v>08:21</v>
      </c>
      <c r="Q8" t="str">
        <f>VLOOKUP(A8,[1]Sheet1!$A:$G,7,0)</f>
        <v>10:06</v>
      </c>
    </row>
    <row r="9" spans="1:17" hidden="1" x14ac:dyDescent="0.35">
      <c r="A9" t="s">
        <v>81</v>
      </c>
      <c r="B9">
        <v>1137</v>
      </c>
      <c r="C9" t="s">
        <v>82</v>
      </c>
      <c r="D9" t="s">
        <v>31</v>
      </c>
      <c r="E9" s="1" t="s">
        <v>32</v>
      </c>
      <c r="F9" s="1">
        <v>45971</v>
      </c>
      <c r="G9" t="s">
        <v>21</v>
      </c>
      <c r="H9" t="s">
        <v>22</v>
      </c>
      <c r="I9">
        <v>150</v>
      </c>
      <c r="J9" s="12">
        <v>0</v>
      </c>
      <c r="K9">
        <f>VLOOKUP(A9,[1]Sheet1!$A:$B,2,0)</f>
        <v>10</v>
      </c>
      <c r="L9" t="str">
        <f>VLOOKUP(A9,[1]Sheet1!$A:$C,3,0)</f>
        <v>4,009.00</v>
      </c>
      <c r="M9">
        <f t="shared" si="0"/>
        <v>140</v>
      </c>
      <c r="N9" s="11" t="e">
        <f t="shared" si="1"/>
        <v>#DIV/0!</v>
      </c>
      <c r="O9" s="10" t="str">
        <f>VLOOKUP(A9,[1]Sheet1!$A:$E,5,0)</f>
        <v>07:49</v>
      </c>
      <c r="P9" t="str">
        <f>VLOOKUP(A9,[1]Sheet1!$A:$F,6,0)</f>
        <v>08:03</v>
      </c>
      <c r="Q9" t="str">
        <f>VLOOKUP(A9,[1]Sheet1!$A:$G,7,0)</f>
        <v>10:03</v>
      </c>
    </row>
    <row r="10" spans="1:17" hidden="1" x14ac:dyDescent="0.35">
      <c r="A10" t="s">
        <v>71</v>
      </c>
      <c r="B10">
        <v>1056</v>
      </c>
      <c r="C10" t="s">
        <v>72</v>
      </c>
      <c r="D10" t="s">
        <v>31</v>
      </c>
      <c r="E10" t="s">
        <v>32</v>
      </c>
      <c r="F10" s="1">
        <v>44685</v>
      </c>
      <c r="G10" t="s">
        <v>21</v>
      </c>
      <c r="H10" t="s">
        <v>33</v>
      </c>
      <c r="I10">
        <v>150</v>
      </c>
      <c r="J10" s="12">
        <v>196666.66666666701</v>
      </c>
      <c r="K10">
        <f>VLOOKUP(A10,[1]Sheet1!$A:$B,2,0)</f>
        <v>9</v>
      </c>
      <c r="L10" t="str">
        <f>VLOOKUP(A10,[1]Sheet1!$A:$C,3,0)</f>
        <v>5,734.00</v>
      </c>
      <c r="M10">
        <f t="shared" si="0"/>
        <v>141</v>
      </c>
      <c r="N10" s="11">
        <f t="shared" si="1"/>
        <v>2.915593220338978E-2</v>
      </c>
      <c r="O10" s="10" t="str">
        <f>VLOOKUP(A10,[1]Sheet1!$A:$E,5,0)</f>
        <v>07:54</v>
      </c>
      <c r="P10" t="str">
        <f>VLOOKUP(A10,[1]Sheet1!$A:$F,6,0)</f>
        <v>08:22</v>
      </c>
      <c r="Q10" t="str">
        <f>VLOOKUP(A10,[1]Sheet1!$A:$G,7,0)</f>
        <v>10:06</v>
      </c>
    </row>
    <row r="11" spans="1:17" hidden="1" x14ac:dyDescent="0.35">
      <c r="A11" t="s">
        <v>185</v>
      </c>
      <c r="B11">
        <v>1110</v>
      </c>
      <c r="C11" t="s">
        <v>186</v>
      </c>
      <c r="D11" t="s">
        <v>31</v>
      </c>
      <c r="E11" s="1" t="s">
        <v>32</v>
      </c>
      <c r="F11" s="1">
        <v>45896</v>
      </c>
      <c r="G11" t="s">
        <v>21</v>
      </c>
      <c r="H11" t="s">
        <v>22</v>
      </c>
      <c r="I11">
        <v>150</v>
      </c>
      <c r="J11" s="12">
        <v>196666.66666666701</v>
      </c>
      <c r="K11">
        <f>VLOOKUP(A11,[1]Sheet1!$A:$B,2,0)</f>
        <v>9</v>
      </c>
      <c r="L11" t="str">
        <f>VLOOKUP(A11,[1]Sheet1!$A:$C,3,0)</f>
        <v>8,058.82</v>
      </c>
      <c r="M11">
        <f t="shared" si="0"/>
        <v>141</v>
      </c>
      <c r="N11" s="11">
        <f t="shared" si="1"/>
        <v>4.0977050847457556E-2</v>
      </c>
      <c r="O11" s="10" t="str">
        <f>VLOOKUP(A11,[1]Sheet1!$A:$E,5,0)</f>
        <v>08:16</v>
      </c>
      <c r="P11" t="str">
        <f>VLOOKUP(A11,[1]Sheet1!$A:$F,6,0)</f>
        <v>08:29</v>
      </c>
      <c r="Q11" t="str">
        <f>VLOOKUP(A11,[1]Sheet1!$A:$G,7,0)</f>
        <v>10:04</v>
      </c>
    </row>
    <row r="12" spans="1:17" hidden="1" x14ac:dyDescent="0.35">
      <c r="A12" t="s">
        <v>47</v>
      </c>
      <c r="B12">
        <v>1034</v>
      </c>
      <c r="C12" t="s">
        <v>18</v>
      </c>
      <c r="D12" t="s">
        <v>19</v>
      </c>
      <c r="E12" t="s">
        <v>20</v>
      </c>
      <c r="F12" s="1">
        <v>45062</v>
      </c>
      <c r="G12" t="s">
        <v>21</v>
      </c>
      <c r="H12" t="s">
        <v>22</v>
      </c>
      <c r="I12">
        <v>150</v>
      </c>
      <c r="J12" s="12">
        <v>145454.545454545</v>
      </c>
      <c r="K12">
        <f>VLOOKUP(A12,[1]Sheet1!$A:$B,2,0)</f>
        <v>8</v>
      </c>
      <c r="L12" t="str">
        <f>VLOOKUP(A12,[1]Sheet1!$A:$C,3,0)</f>
        <v>41,882.00</v>
      </c>
      <c r="M12">
        <f t="shared" si="0"/>
        <v>142</v>
      </c>
      <c r="N12" s="11">
        <f t="shared" si="1"/>
        <v>0.28793875000000091</v>
      </c>
      <c r="O12" s="10" t="str">
        <f>VLOOKUP(A12,[1]Sheet1!$A:$E,5,0)</f>
        <v>08:40</v>
      </c>
      <c r="P12" t="str">
        <f>VLOOKUP(A12,[1]Sheet1!$A:$F,6,0)</f>
        <v>08:42</v>
      </c>
      <c r="Q12" t="str">
        <f>VLOOKUP(A12,[1]Sheet1!$A:$G,7,0)</f>
        <v>10:06</v>
      </c>
    </row>
    <row r="13" spans="1:17" hidden="1" x14ac:dyDescent="0.35">
      <c r="A13" t="s">
        <v>78</v>
      </c>
      <c r="B13">
        <v>1025</v>
      </c>
      <c r="C13" t="s">
        <v>79</v>
      </c>
      <c r="D13" t="s">
        <v>31</v>
      </c>
      <c r="E13" s="1" t="s">
        <v>32</v>
      </c>
      <c r="F13" s="1">
        <v>45932.447971689813</v>
      </c>
      <c r="G13" t="s">
        <v>21</v>
      </c>
      <c r="H13" t="s">
        <v>22</v>
      </c>
      <c r="I13">
        <v>150</v>
      </c>
      <c r="J13" s="12">
        <v>161721.61172161199</v>
      </c>
      <c r="K13">
        <f>VLOOKUP(A13,[1]Sheet1!$A:$B,2,0)</f>
        <v>8</v>
      </c>
      <c r="L13" t="str">
        <f>VLOOKUP(A13,[1]Sheet1!$A:$C,3,0)</f>
        <v>12,645.00</v>
      </c>
      <c r="M13">
        <f t="shared" si="0"/>
        <v>142</v>
      </c>
      <c r="N13" s="11">
        <f t="shared" si="1"/>
        <v>7.8189920724801687E-2</v>
      </c>
      <c r="O13" s="10" t="str">
        <f>VLOOKUP(A13,[1]Sheet1!$A:$E,5,0)</f>
        <v>08:21</v>
      </c>
      <c r="P13" t="str">
        <f>VLOOKUP(A13,[1]Sheet1!$A:$F,6,0)</f>
        <v>08:26</v>
      </c>
      <c r="Q13" t="str">
        <f>VLOOKUP(A13,[1]Sheet1!$A:$G,7,0)</f>
        <v>10:06</v>
      </c>
    </row>
    <row r="14" spans="1:17" hidden="1" x14ac:dyDescent="0.35">
      <c r="A14" t="s">
        <v>142</v>
      </c>
      <c r="B14">
        <v>1060</v>
      </c>
      <c r="C14" t="s">
        <v>143</v>
      </c>
      <c r="D14" t="s">
        <v>85</v>
      </c>
      <c r="E14" t="s">
        <v>86</v>
      </c>
      <c r="F14" s="1">
        <v>45523</v>
      </c>
      <c r="G14" t="s">
        <v>21</v>
      </c>
      <c r="H14" t="s">
        <v>33</v>
      </c>
      <c r="I14">
        <v>150</v>
      </c>
      <c r="J14" s="12">
        <v>165700.45259349101</v>
      </c>
      <c r="K14">
        <f>VLOOKUP(A14,[1]Sheet1!$A:$B,2,0)</f>
        <v>8</v>
      </c>
      <c r="L14" t="str">
        <f>VLOOKUP(A14,[1]Sheet1!$A:$C,3,0)</f>
        <v>41,610.00</v>
      </c>
      <c r="M14">
        <f t="shared" si="0"/>
        <v>142</v>
      </c>
      <c r="N14" s="11">
        <f t="shared" si="1"/>
        <v>0.25111578965979547</v>
      </c>
      <c r="O14" s="10" t="str">
        <f>VLOOKUP(A14,[1]Sheet1!$A:$E,5,0)</f>
        <v>08:19</v>
      </c>
      <c r="P14" t="str">
        <f>VLOOKUP(A14,[1]Sheet1!$A:$F,6,0)</f>
        <v>08:26</v>
      </c>
      <c r="Q14" t="str">
        <f>VLOOKUP(A14,[1]Sheet1!$A:$G,7,0)</f>
        <v>10:06</v>
      </c>
    </row>
    <row r="15" spans="1:17" hidden="1" x14ac:dyDescent="0.35">
      <c r="A15" t="s">
        <v>65</v>
      </c>
      <c r="B15">
        <v>1053</v>
      </c>
      <c r="C15" t="s">
        <v>66</v>
      </c>
      <c r="D15" t="s">
        <v>31</v>
      </c>
      <c r="E15" t="s">
        <v>32</v>
      </c>
      <c r="F15" s="1">
        <v>45706</v>
      </c>
      <c r="G15" t="s">
        <v>21</v>
      </c>
      <c r="H15" t="s">
        <v>33</v>
      </c>
      <c r="I15">
        <v>150</v>
      </c>
      <c r="J15" s="12">
        <v>196666.66666666701</v>
      </c>
      <c r="K15">
        <f>VLOOKUP(A15,[1]Sheet1!$A:$B,2,0)</f>
        <v>7</v>
      </c>
      <c r="L15" t="str">
        <f>VLOOKUP(A15,[1]Sheet1!$A:$C,3,0)</f>
        <v>6,787.00</v>
      </c>
      <c r="M15">
        <f t="shared" si="0"/>
        <v>143</v>
      </c>
      <c r="N15" s="11">
        <f t="shared" si="1"/>
        <v>3.4510169491525362E-2</v>
      </c>
      <c r="O15" s="10" t="str">
        <f>VLOOKUP(A15,[1]Sheet1!$A:$E,5,0)</f>
        <v>08:03</v>
      </c>
      <c r="P15" t="str">
        <f>VLOOKUP(A15,[1]Sheet1!$A:$F,6,0)</f>
        <v>08:29</v>
      </c>
      <c r="Q15" t="str">
        <f>VLOOKUP(A15,[1]Sheet1!$A:$G,7,0)</f>
        <v>10:05</v>
      </c>
    </row>
    <row r="16" spans="1:17" hidden="1" x14ac:dyDescent="0.35">
      <c r="A16" t="s">
        <v>93</v>
      </c>
      <c r="B16">
        <v>1139</v>
      </c>
      <c r="C16" t="s">
        <v>94</v>
      </c>
      <c r="D16" t="s">
        <v>19</v>
      </c>
      <c r="E16" s="1" t="s">
        <v>20</v>
      </c>
      <c r="F16" s="1">
        <v>45974</v>
      </c>
      <c r="G16" t="s">
        <v>21</v>
      </c>
      <c r="H16" t="s">
        <v>33</v>
      </c>
      <c r="I16">
        <v>150</v>
      </c>
      <c r="J16" s="12">
        <v>0</v>
      </c>
      <c r="K16">
        <f>VLOOKUP(A16,[1]Sheet1!$A:$B,2,0)</f>
        <v>7</v>
      </c>
      <c r="L16" t="str">
        <f>VLOOKUP(A16,[1]Sheet1!$A:$C,3,0)</f>
        <v>20,326.00</v>
      </c>
      <c r="M16">
        <f t="shared" si="0"/>
        <v>143</v>
      </c>
      <c r="N16" s="11" t="e">
        <f t="shared" si="1"/>
        <v>#DIV/0!</v>
      </c>
      <c r="O16" s="10" t="str">
        <f>VLOOKUP(A16,[1]Sheet1!$A:$E,5,0)</f>
        <v>07:48</v>
      </c>
      <c r="P16" t="str">
        <f>VLOOKUP(A16,[1]Sheet1!$A:$F,6,0)</f>
        <v>08:09</v>
      </c>
      <c r="Q16" t="str">
        <f>VLOOKUP(A16,[1]Sheet1!$A:$G,7,0)</f>
        <v>10:05</v>
      </c>
    </row>
    <row r="17" spans="1:17" hidden="1" x14ac:dyDescent="0.35">
      <c r="A17" t="s">
        <v>98</v>
      </c>
      <c r="B17">
        <v>1065</v>
      </c>
      <c r="C17" t="s">
        <v>99</v>
      </c>
      <c r="D17" t="s">
        <v>85</v>
      </c>
      <c r="E17" t="s">
        <v>86</v>
      </c>
      <c r="F17" s="1">
        <v>45313</v>
      </c>
      <c r="G17" t="s">
        <v>21</v>
      </c>
      <c r="H17" t="s">
        <v>33</v>
      </c>
      <c r="I17">
        <v>150</v>
      </c>
      <c r="J17" s="12">
        <v>226838.99038092501</v>
      </c>
      <c r="K17">
        <f>VLOOKUP(A17,[1]Sheet1!$A:$B,2,0)</f>
        <v>7</v>
      </c>
      <c r="L17" t="str">
        <f>VLOOKUP(A17,[1]Sheet1!$A:$C,3,0)</f>
        <v>20,000.00</v>
      </c>
      <c r="M17">
        <f t="shared" si="0"/>
        <v>143</v>
      </c>
      <c r="N17" s="11">
        <f t="shared" si="1"/>
        <v>8.8168264046734224E-2</v>
      </c>
      <c r="O17" s="10" t="str">
        <f>VLOOKUP(A17,[1]Sheet1!$A:$E,5,0)</f>
        <v>08:24</v>
      </c>
      <c r="P17" t="str">
        <f>VLOOKUP(A17,[1]Sheet1!$A:$F,6,0)</f>
        <v>08:30</v>
      </c>
      <c r="Q17" t="str">
        <f>VLOOKUP(A17,[1]Sheet1!$A:$G,7,0)</f>
        <v>09:53</v>
      </c>
    </row>
    <row r="18" spans="1:17" hidden="1" x14ac:dyDescent="0.35">
      <c r="A18" t="s">
        <v>144</v>
      </c>
      <c r="B18">
        <v>1098</v>
      </c>
      <c r="C18" t="s">
        <v>145</v>
      </c>
      <c r="D18" t="s">
        <v>19</v>
      </c>
      <c r="E18" t="s">
        <v>20</v>
      </c>
      <c r="F18" s="1">
        <v>45852</v>
      </c>
      <c r="G18" t="s">
        <v>21</v>
      </c>
      <c r="H18" t="s">
        <v>22</v>
      </c>
      <c r="I18">
        <v>150</v>
      </c>
      <c r="J18" s="12">
        <v>147435.897435897</v>
      </c>
      <c r="K18">
        <f>VLOOKUP(A18,[1]Sheet1!$A:$B,2,0)</f>
        <v>7</v>
      </c>
      <c r="L18" t="str">
        <f>VLOOKUP(A18,[1]Sheet1!$A:$C,3,0)</f>
        <v>6,034.00</v>
      </c>
      <c r="M18">
        <f t="shared" si="0"/>
        <v>143</v>
      </c>
      <c r="N18" s="11">
        <f t="shared" si="1"/>
        <v>4.0926260869565335E-2</v>
      </c>
      <c r="O18" s="10" t="str">
        <f>VLOOKUP(A18,[1]Sheet1!$A:$E,5,0)</f>
        <v>08:27</v>
      </c>
      <c r="P18" t="str">
        <f>VLOOKUP(A18,[1]Sheet1!$A:$F,6,0)</f>
        <v>08:38</v>
      </c>
      <c r="Q18" t="str">
        <f>VLOOKUP(A18,[1]Sheet1!$A:$G,7,0)</f>
        <v>10:06</v>
      </c>
    </row>
    <row r="19" spans="1:17" hidden="1" x14ac:dyDescent="0.35">
      <c r="A19" t="s">
        <v>52</v>
      </c>
      <c r="B19">
        <v>1039</v>
      </c>
      <c r="C19" t="s">
        <v>53</v>
      </c>
      <c r="D19" t="s">
        <v>19</v>
      </c>
      <c r="E19" t="s">
        <v>20</v>
      </c>
      <c r="F19" s="1">
        <v>45709</v>
      </c>
      <c r="G19" t="s">
        <v>21</v>
      </c>
      <c r="H19" t="s">
        <v>22</v>
      </c>
      <c r="I19">
        <v>150</v>
      </c>
      <c r="J19" s="12">
        <v>147435.897435897</v>
      </c>
      <c r="K19">
        <f>VLOOKUP(A19,[1]Sheet1!$A:$B,2,0)</f>
        <v>6</v>
      </c>
      <c r="L19" t="str">
        <f>VLOOKUP(A19,[1]Sheet1!$A:$C,3,0)</f>
        <v>2,445.00</v>
      </c>
      <c r="M19">
        <f t="shared" si="0"/>
        <v>144</v>
      </c>
      <c r="N19" s="11">
        <f t="shared" si="1"/>
        <v>1.6583478260869613E-2</v>
      </c>
      <c r="O19" s="10" t="str">
        <f>VLOOKUP(A19,[1]Sheet1!$A:$E,5,0)</f>
        <v>08:18</v>
      </c>
      <c r="P19" t="str">
        <f>VLOOKUP(A19,[1]Sheet1!$A:$F,6,0)</f>
        <v>08:23</v>
      </c>
      <c r="Q19" t="str">
        <f>VLOOKUP(A19,[1]Sheet1!$A:$G,7,0)</f>
        <v>09:59</v>
      </c>
    </row>
    <row r="20" spans="1:17" hidden="1" x14ac:dyDescent="0.35">
      <c r="A20" t="s">
        <v>73</v>
      </c>
      <c r="B20">
        <v>1051</v>
      </c>
      <c r="C20" t="s">
        <v>24</v>
      </c>
      <c r="D20" t="s">
        <v>31</v>
      </c>
      <c r="E20" t="s">
        <v>32</v>
      </c>
      <c r="F20" s="1">
        <v>45454</v>
      </c>
      <c r="G20" t="s">
        <v>21</v>
      </c>
      <c r="H20" t="s">
        <v>49</v>
      </c>
      <c r="I20">
        <v>105</v>
      </c>
      <c r="J20" s="12">
        <v>171135.23905999999</v>
      </c>
      <c r="K20">
        <f>VLOOKUP(A20,[1]Sheet1!$A:$B,2,0)</f>
        <v>6</v>
      </c>
      <c r="L20" t="str">
        <f>VLOOKUP(A20,[1]Sheet1!$A:$C,3,0)</f>
        <v>19,616.00</v>
      </c>
      <c r="M20">
        <f t="shared" si="0"/>
        <v>99</v>
      </c>
      <c r="N20" s="11">
        <f t="shared" si="1"/>
        <v>0.11462279836546482</v>
      </c>
      <c r="O20" s="10" t="str">
        <f>VLOOKUP(A20,[1]Sheet1!$A:$E,5,0)</f>
        <v>08:03</v>
      </c>
      <c r="P20" t="str">
        <f>VLOOKUP(A20,[1]Sheet1!$A:$F,6,0)</f>
        <v>08:37</v>
      </c>
      <c r="Q20" t="str">
        <f>VLOOKUP(A20,[1]Sheet1!$A:$G,7,0)</f>
        <v>10:06</v>
      </c>
    </row>
    <row r="21" spans="1:17" hidden="1" x14ac:dyDescent="0.35">
      <c r="A21" t="s">
        <v>95</v>
      </c>
      <c r="B21">
        <v>1035</v>
      </c>
      <c r="C21" t="s">
        <v>96</v>
      </c>
      <c r="D21" t="s">
        <v>25</v>
      </c>
      <c r="E21" t="s">
        <v>20</v>
      </c>
      <c r="F21" s="1">
        <v>44686</v>
      </c>
      <c r="G21" t="s">
        <v>21</v>
      </c>
      <c r="H21" t="s">
        <v>76</v>
      </c>
      <c r="I21">
        <v>105</v>
      </c>
      <c r="J21" s="12">
        <v>494248.73456758499</v>
      </c>
      <c r="K21">
        <f>VLOOKUP(A21,[1]Sheet1!$A:$B,2,0)</f>
        <v>6</v>
      </c>
      <c r="L21" t="str">
        <f>VLOOKUP(A21,[1]Sheet1!$A:$C,3,0)</f>
        <v>75,000.00</v>
      </c>
      <c r="M21">
        <f t="shared" si="0"/>
        <v>99</v>
      </c>
      <c r="N21" s="11">
        <f t="shared" si="1"/>
        <v>0.15174545680044485</v>
      </c>
      <c r="O21" s="10" t="str">
        <f>VLOOKUP(A21,[1]Sheet1!$A:$E,5,0)</f>
        <v>08:15</v>
      </c>
      <c r="P21" t="str">
        <f>VLOOKUP(A21,[1]Sheet1!$A:$F,6,0)</f>
        <v>08:32</v>
      </c>
      <c r="Q21" t="str">
        <f>VLOOKUP(A21,[1]Sheet1!$A:$G,7,0)</f>
        <v>10:01</v>
      </c>
    </row>
    <row r="22" spans="1:17" hidden="1" x14ac:dyDescent="0.35">
      <c r="A22" t="s">
        <v>104</v>
      </c>
      <c r="B22">
        <v>1101</v>
      </c>
      <c r="C22" t="s">
        <v>105</v>
      </c>
      <c r="D22" t="s">
        <v>85</v>
      </c>
      <c r="E22" t="s">
        <v>86</v>
      </c>
      <c r="F22" s="1">
        <v>45860.394594305559</v>
      </c>
      <c r="G22" t="s">
        <v>21</v>
      </c>
      <c r="H22" t="s">
        <v>22</v>
      </c>
      <c r="I22">
        <v>150</v>
      </c>
      <c r="J22" s="12">
        <v>217003.22464418001</v>
      </c>
      <c r="K22">
        <f>VLOOKUP(A22,[1]Sheet1!$A:$B,2,0)</f>
        <v>6</v>
      </c>
      <c r="L22" t="str">
        <f>VLOOKUP(A22,[1]Sheet1!$A:$C,3,0)</f>
        <v>27,543.00</v>
      </c>
      <c r="M22">
        <f t="shared" si="0"/>
        <v>144</v>
      </c>
      <c r="N22" s="11">
        <f t="shared" si="1"/>
        <v>0.1269243811706588</v>
      </c>
      <c r="O22" s="10" t="str">
        <f>VLOOKUP(A22,[1]Sheet1!$A:$E,5,0)</f>
        <v>07:46</v>
      </c>
      <c r="P22" t="str">
        <f>VLOOKUP(A22,[1]Sheet1!$A:$F,6,0)</f>
        <v>07:47</v>
      </c>
      <c r="Q22" t="str">
        <f>VLOOKUP(A22,[1]Sheet1!$A:$G,7,0)</f>
        <v>10:06</v>
      </c>
    </row>
    <row r="23" spans="1:17" hidden="1" x14ac:dyDescent="0.35">
      <c r="A23" t="s">
        <v>106</v>
      </c>
      <c r="B23">
        <v>1116</v>
      </c>
      <c r="C23" t="s">
        <v>107</v>
      </c>
      <c r="D23" t="s">
        <v>85</v>
      </c>
      <c r="E23" t="s">
        <v>86</v>
      </c>
      <c r="F23" s="1">
        <v>45908.417964456021</v>
      </c>
      <c r="G23" t="s">
        <v>21</v>
      </c>
      <c r="H23" t="s">
        <v>33</v>
      </c>
      <c r="I23">
        <v>150</v>
      </c>
      <c r="J23" s="12">
        <v>207589.33761152899</v>
      </c>
      <c r="K23">
        <f>VLOOKUP(A23,[1]Sheet1!$A:$B,2,0)</f>
        <v>6</v>
      </c>
      <c r="L23" t="str">
        <f>VLOOKUP(A23,[1]Sheet1!$A:$C,3,0)</f>
        <v>71,424.00</v>
      </c>
      <c r="M23">
        <f t="shared" si="0"/>
        <v>144</v>
      </c>
      <c r="N23" s="11">
        <f t="shared" si="1"/>
        <v>0.34406391398415104</v>
      </c>
      <c r="O23" s="10" t="str">
        <f>VLOOKUP(A23,[1]Sheet1!$A:$E,5,0)</f>
        <v>07:59</v>
      </c>
      <c r="P23" t="str">
        <f>VLOOKUP(A23,[1]Sheet1!$A:$F,6,0)</f>
        <v>08:04</v>
      </c>
      <c r="Q23" t="str">
        <f>VLOOKUP(A23,[1]Sheet1!$A:$G,7,0)</f>
        <v>10:06</v>
      </c>
    </row>
    <row r="24" spans="1:17" hidden="1" x14ac:dyDescent="0.35">
      <c r="A24" t="s">
        <v>152</v>
      </c>
      <c r="B24">
        <v>1107</v>
      </c>
      <c r="C24" t="s">
        <v>153</v>
      </c>
      <c r="D24" t="s">
        <v>56</v>
      </c>
      <c r="E24" s="1" t="s">
        <v>32</v>
      </c>
      <c r="F24" s="1">
        <v>45888</v>
      </c>
      <c r="G24" t="s">
        <v>21</v>
      </c>
      <c r="H24" t="s">
        <v>22</v>
      </c>
      <c r="I24">
        <v>150</v>
      </c>
      <c r="J24" s="12">
        <v>164221.61172161199</v>
      </c>
      <c r="K24">
        <f>VLOOKUP(A24,[1]Sheet1!$A:$B,2,0)</f>
        <v>6</v>
      </c>
      <c r="L24" t="str">
        <f>VLOOKUP(A24,[1]Sheet1!$A:$C,3,0)</f>
        <v>6,503.52</v>
      </c>
      <c r="M24">
        <f t="shared" si="0"/>
        <v>144</v>
      </c>
      <c r="N24" s="11">
        <f t="shared" si="1"/>
        <v>3.9602095801037129E-2</v>
      </c>
      <c r="O24" s="10" t="str">
        <f>VLOOKUP(A24,[1]Sheet1!$A:$E,5,0)</f>
        <v>08:02</v>
      </c>
      <c r="P24" t="str">
        <f>VLOOKUP(A24,[1]Sheet1!$A:$F,6,0)</f>
        <v>08:26</v>
      </c>
      <c r="Q24" t="str">
        <f>VLOOKUP(A24,[1]Sheet1!$A:$G,7,0)</f>
        <v>10:03</v>
      </c>
    </row>
    <row r="25" spans="1:17" hidden="1" x14ac:dyDescent="0.35">
      <c r="A25" t="s">
        <v>17</v>
      </c>
      <c r="B25">
        <v>1012</v>
      </c>
      <c r="C25" t="s">
        <v>18</v>
      </c>
      <c r="D25" t="s">
        <v>19</v>
      </c>
      <c r="E25" t="s">
        <v>20</v>
      </c>
      <c r="F25" s="1">
        <v>45449</v>
      </c>
      <c r="G25" t="s">
        <v>21</v>
      </c>
      <c r="H25" t="s">
        <v>22</v>
      </c>
      <c r="I25">
        <v>150</v>
      </c>
      <c r="J25" s="12">
        <v>145454.545454545</v>
      </c>
      <c r="K25">
        <f>VLOOKUP(A25,[1]Sheet1!$A:$B,2,0)</f>
        <v>5</v>
      </c>
      <c r="L25" t="str">
        <f>VLOOKUP(A25,[1]Sheet1!$A:$C,3,0)</f>
        <v>5,840.00</v>
      </c>
      <c r="M25">
        <f t="shared" si="0"/>
        <v>145</v>
      </c>
      <c r="N25" s="11">
        <f t="shared" si="1"/>
        <v>4.0150000000000123E-2</v>
      </c>
      <c r="O25" s="10" t="str">
        <f>VLOOKUP(A25,[1]Sheet1!$A:$E,5,0)</f>
        <v>08:11</v>
      </c>
      <c r="P25" t="str">
        <f>VLOOKUP(A25,[1]Sheet1!$A:$F,6,0)</f>
        <v>08:16</v>
      </c>
      <c r="Q25" t="str">
        <f>VLOOKUP(A25,[1]Sheet1!$A:$G,7,0)</f>
        <v>10:05</v>
      </c>
    </row>
    <row r="26" spans="1:17" hidden="1" x14ac:dyDescent="0.35">
      <c r="A26" t="s">
        <v>23</v>
      </c>
      <c r="B26">
        <v>1121</v>
      </c>
      <c r="C26" t="s">
        <v>24</v>
      </c>
      <c r="D26" t="s">
        <v>25</v>
      </c>
      <c r="E26" t="s">
        <v>20</v>
      </c>
      <c r="F26" s="1">
        <v>44685</v>
      </c>
      <c r="G26" t="s">
        <v>21</v>
      </c>
      <c r="H26" t="s">
        <v>22</v>
      </c>
      <c r="I26">
        <v>150</v>
      </c>
      <c r="J26" s="12">
        <v>228426.10530651</v>
      </c>
      <c r="K26">
        <f>VLOOKUP(A26,[1]Sheet1!$A:$B,2,0)</f>
        <v>5</v>
      </c>
      <c r="L26" t="str">
        <f>VLOOKUP(A26,[1]Sheet1!$A:$C,3,0)</f>
        <v>30,511.00</v>
      </c>
      <c r="M26">
        <f t="shared" si="0"/>
        <v>145</v>
      </c>
      <c r="N26" s="11">
        <f t="shared" si="1"/>
        <v>0.13357054772290275</v>
      </c>
      <c r="O26" s="10" t="str">
        <f>VLOOKUP(A26,[1]Sheet1!$A:$E,5,0)</f>
        <v>08:32</v>
      </c>
      <c r="P26" t="str">
        <f>VLOOKUP(A26,[1]Sheet1!$A:$F,6,0)</f>
        <v>08:38</v>
      </c>
      <c r="Q26" t="str">
        <f>VLOOKUP(A26,[1]Sheet1!$A:$G,7,0)</f>
        <v>09:56</v>
      </c>
    </row>
    <row r="27" spans="1:17" hidden="1" x14ac:dyDescent="0.35">
      <c r="A27" t="s">
        <v>63</v>
      </c>
      <c r="B27">
        <v>1045</v>
      </c>
      <c r="C27" t="s">
        <v>62</v>
      </c>
      <c r="D27" t="s">
        <v>19</v>
      </c>
      <c r="E27" t="s">
        <v>20</v>
      </c>
      <c r="F27" s="1">
        <v>45763</v>
      </c>
      <c r="G27" t="s">
        <v>21</v>
      </c>
      <c r="H27" t="s">
        <v>33</v>
      </c>
      <c r="I27">
        <v>150</v>
      </c>
      <c r="J27" s="12">
        <v>147435.897435897</v>
      </c>
      <c r="K27">
        <f>VLOOKUP(A27,[1]Sheet1!$A:$B,2,0)</f>
        <v>5</v>
      </c>
      <c r="L27" t="str">
        <f>VLOOKUP(A27,[1]Sheet1!$A:$C,3,0)</f>
        <v>6,418.00</v>
      </c>
      <c r="M27">
        <f t="shared" si="0"/>
        <v>145</v>
      </c>
      <c r="N27" s="11">
        <f t="shared" si="1"/>
        <v>4.3530782608695778E-2</v>
      </c>
      <c r="O27" s="10" t="str">
        <f>VLOOKUP(A27,[1]Sheet1!$A:$E,5,0)</f>
        <v>08:14</v>
      </c>
      <c r="P27" t="str">
        <f>VLOOKUP(A27,[1]Sheet1!$A:$F,6,0)</f>
        <v>08:26</v>
      </c>
      <c r="Q27" t="str">
        <f>VLOOKUP(A27,[1]Sheet1!$A:$G,7,0)</f>
        <v>10:05</v>
      </c>
    </row>
    <row r="28" spans="1:17" hidden="1" x14ac:dyDescent="0.35">
      <c r="A28" t="s">
        <v>161</v>
      </c>
      <c r="B28">
        <v>1118</v>
      </c>
      <c r="C28" t="s">
        <v>162</v>
      </c>
      <c r="D28" t="s">
        <v>25</v>
      </c>
      <c r="E28" t="s">
        <v>20</v>
      </c>
      <c r="F28" s="1">
        <v>45917.391251562498</v>
      </c>
      <c r="G28" t="s">
        <v>21</v>
      </c>
      <c r="H28" t="s">
        <v>22</v>
      </c>
      <c r="I28">
        <v>150</v>
      </c>
      <c r="J28" s="12">
        <v>292700.70383779</v>
      </c>
      <c r="K28">
        <f>VLOOKUP(A28,[1]Sheet1!$A:$B,2,0)</f>
        <v>5</v>
      </c>
      <c r="L28" t="str">
        <f>VLOOKUP(A28,[1]Sheet1!$A:$C,3,0)</f>
        <v>12,280.00</v>
      </c>
      <c r="M28">
        <f t="shared" si="0"/>
        <v>145</v>
      </c>
      <c r="N28" s="11">
        <f t="shared" si="1"/>
        <v>4.1954118452702381E-2</v>
      </c>
      <c r="O28" s="10" t="str">
        <f>VLOOKUP(A28,[1]Sheet1!$A:$E,5,0)</f>
        <v>08:03</v>
      </c>
      <c r="P28" t="str">
        <f>VLOOKUP(A28,[1]Sheet1!$A:$F,6,0)</f>
        <v>08:07</v>
      </c>
      <c r="Q28" t="str">
        <f>VLOOKUP(A28,[1]Sheet1!$A:$G,7,0)</f>
        <v>10:02</v>
      </c>
    </row>
    <row r="29" spans="1:17" hidden="1" x14ac:dyDescent="0.35">
      <c r="A29" t="s">
        <v>67</v>
      </c>
      <c r="B29">
        <v>1048</v>
      </c>
      <c r="C29" t="s">
        <v>68</v>
      </c>
      <c r="D29" t="s">
        <v>31</v>
      </c>
      <c r="E29" t="s">
        <v>32</v>
      </c>
      <c r="F29" s="1">
        <v>45635</v>
      </c>
      <c r="G29" t="s">
        <v>21</v>
      </c>
      <c r="H29" t="s">
        <v>33</v>
      </c>
      <c r="I29">
        <v>150</v>
      </c>
      <c r="J29" s="12">
        <v>196666.66666666701</v>
      </c>
      <c r="K29">
        <f>VLOOKUP(A29,[1]Sheet1!$A:$B,2,0)</f>
        <v>4</v>
      </c>
      <c r="L29" t="str">
        <f>VLOOKUP(A29,[1]Sheet1!$A:$C,3,0)</f>
        <v>5,661.00</v>
      </c>
      <c r="M29">
        <f t="shared" si="0"/>
        <v>146</v>
      </c>
      <c r="N29" s="11">
        <f t="shared" si="1"/>
        <v>2.8784745762711814E-2</v>
      </c>
      <c r="O29" s="10" t="str">
        <f>VLOOKUP(A29,[1]Sheet1!$A:$E,5,0)</f>
        <v>08:24</v>
      </c>
      <c r="P29" t="str">
        <f>VLOOKUP(A29,[1]Sheet1!$A:$F,6,0)</f>
        <v>08:34</v>
      </c>
      <c r="Q29" t="str">
        <f>VLOOKUP(A29,[1]Sheet1!$A:$G,7,0)</f>
        <v>10:04</v>
      </c>
    </row>
    <row r="30" spans="1:17" hidden="1" x14ac:dyDescent="0.35">
      <c r="A30" t="s">
        <v>77</v>
      </c>
      <c r="B30">
        <v>1050</v>
      </c>
      <c r="C30" t="s">
        <v>24</v>
      </c>
      <c r="D30" t="s">
        <v>31</v>
      </c>
      <c r="E30" t="s">
        <v>32</v>
      </c>
      <c r="F30" s="1">
        <v>45098</v>
      </c>
      <c r="G30" t="s">
        <v>21</v>
      </c>
      <c r="H30" t="s">
        <v>49</v>
      </c>
      <c r="I30">
        <v>105</v>
      </c>
      <c r="J30" s="12">
        <v>216666.66666666701</v>
      </c>
      <c r="K30">
        <f>VLOOKUP(A30,[1]Sheet1!$A:$B,2,0)</f>
        <v>4</v>
      </c>
      <c r="L30" t="str">
        <f>VLOOKUP(A30,[1]Sheet1!$A:$C,3,0)</f>
        <v>4,464.79</v>
      </c>
      <c r="M30">
        <f t="shared" si="0"/>
        <v>101</v>
      </c>
      <c r="N30" s="11">
        <f t="shared" si="1"/>
        <v>2.0606723076923045E-2</v>
      </c>
      <c r="O30" s="10" t="str">
        <f>VLOOKUP(A30,[1]Sheet1!$A:$E,5,0)</f>
        <v>08:21</v>
      </c>
      <c r="P30" t="str">
        <f>VLOOKUP(A30,[1]Sheet1!$A:$F,6,0)</f>
        <v>08:33</v>
      </c>
      <c r="Q30" t="str">
        <f>VLOOKUP(A30,[1]Sheet1!$A:$G,7,0)</f>
        <v>09:57</v>
      </c>
    </row>
    <row r="31" spans="1:17" hidden="1" x14ac:dyDescent="0.35">
      <c r="A31" t="s">
        <v>125</v>
      </c>
      <c r="B31">
        <v>1083</v>
      </c>
      <c r="C31" t="s">
        <v>126</v>
      </c>
      <c r="D31" t="s">
        <v>19</v>
      </c>
      <c r="E31" t="s">
        <v>20</v>
      </c>
      <c r="F31" s="1">
        <v>45393</v>
      </c>
      <c r="G31" t="s">
        <v>121</v>
      </c>
      <c r="H31" t="s">
        <v>22</v>
      </c>
      <c r="I31">
        <v>150</v>
      </c>
      <c r="J31" s="12">
        <v>147435.897435897</v>
      </c>
      <c r="K31">
        <f>VLOOKUP(A31,[1]Sheet1!$A:$B,2,0)</f>
        <v>4</v>
      </c>
      <c r="L31" t="str">
        <f>VLOOKUP(A31,[1]Sheet1!$A:$C,3,0)</f>
        <v>1,556.00</v>
      </c>
      <c r="M31">
        <f t="shared" si="0"/>
        <v>146</v>
      </c>
      <c r="N31" s="11">
        <f t="shared" si="1"/>
        <v>1.0553739130434813E-2</v>
      </c>
      <c r="O31" s="10" t="str">
        <f>VLOOKUP(A31,[1]Sheet1!$A:$E,5,0)</f>
        <v>08:12</v>
      </c>
      <c r="P31" t="str">
        <f>VLOOKUP(A31,[1]Sheet1!$A:$F,6,0)</f>
        <v>08:13</v>
      </c>
      <c r="Q31" t="str">
        <f>VLOOKUP(A31,[1]Sheet1!$A:$G,7,0)</f>
        <v>09:46</v>
      </c>
    </row>
    <row r="32" spans="1:17" hidden="1" x14ac:dyDescent="0.35">
      <c r="A32" t="s">
        <v>137</v>
      </c>
      <c r="B32">
        <v>1047</v>
      </c>
      <c r="C32" t="s">
        <v>30</v>
      </c>
      <c r="D32" t="s">
        <v>31</v>
      </c>
      <c r="E32" t="s">
        <v>32</v>
      </c>
      <c r="F32" s="1">
        <v>45580</v>
      </c>
      <c r="G32" t="s">
        <v>21</v>
      </c>
      <c r="H32" t="s">
        <v>33</v>
      </c>
      <c r="I32">
        <v>150</v>
      </c>
      <c r="J32" s="12">
        <v>133333.33333333299</v>
      </c>
      <c r="K32">
        <f>VLOOKUP(A32,[1]Sheet1!$A:$B,2,0)</f>
        <v>4</v>
      </c>
      <c r="L32" t="str">
        <f>VLOOKUP(A32,[1]Sheet1!$A:$C,3,0)</f>
        <v>20,000.00</v>
      </c>
      <c r="M32">
        <f t="shared" si="0"/>
        <v>146</v>
      </c>
      <c r="N32" s="11">
        <f t="shared" si="1"/>
        <v>0.15000000000000038</v>
      </c>
      <c r="O32" s="10" t="str">
        <f>VLOOKUP(A32,[1]Sheet1!$A:$E,5,0)</f>
        <v>08:18</v>
      </c>
      <c r="P32" t="str">
        <f>VLOOKUP(A32,[1]Sheet1!$A:$F,6,0)</f>
        <v>08:37</v>
      </c>
      <c r="Q32" t="str">
        <f>VLOOKUP(A32,[1]Sheet1!$A:$G,7,0)</f>
        <v>10:06</v>
      </c>
    </row>
    <row r="33" spans="1:17" hidden="1" x14ac:dyDescent="0.35">
      <c r="A33" t="s">
        <v>160</v>
      </c>
      <c r="B33">
        <v>1071</v>
      </c>
      <c r="C33" t="s">
        <v>149</v>
      </c>
      <c r="D33" t="s">
        <v>85</v>
      </c>
      <c r="E33" t="s">
        <v>86</v>
      </c>
      <c r="F33" s="1">
        <v>45315</v>
      </c>
      <c r="G33" t="s">
        <v>21</v>
      </c>
      <c r="H33" t="s">
        <v>76</v>
      </c>
      <c r="I33">
        <v>105</v>
      </c>
      <c r="J33" s="12">
        <v>216938.30710254901</v>
      </c>
      <c r="K33">
        <f>VLOOKUP(A33,[1]Sheet1!$A:$B,2,0)</f>
        <v>4</v>
      </c>
      <c r="L33" t="str">
        <f>VLOOKUP(A33,[1]Sheet1!$A:$C,3,0)</f>
        <v>17,755.00</v>
      </c>
      <c r="M33">
        <f t="shared" si="0"/>
        <v>101</v>
      </c>
      <c r="N33" s="11">
        <f t="shared" si="1"/>
        <v>8.1843544541015639E-2</v>
      </c>
      <c r="O33" s="10" t="str">
        <f>VLOOKUP(A33,[1]Sheet1!$A:$E,5,0)</f>
        <v>07:56</v>
      </c>
      <c r="P33" t="str">
        <f>VLOOKUP(A33,[1]Sheet1!$A:$F,6,0)</f>
        <v>07:58</v>
      </c>
      <c r="Q33" t="str">
        <f>VLOOKUP(A33,[1]Sheet1!$A:$G,7,0)</f>
        <v>10:05</v>
      </c>
    </row>
    <row r="34" spans="1:17" hidden="1" x14ac:dyDescent="0.35">
      <c r="A34" t="s">
        <v>165</v>
      </c>
      <c r="B34">
        <v>1019</v>
      </c>
      <c r="C34" t="s">
        <v>164</v>
      </c>
      <c r="D34" t="s">
        <v>25</v>
      </c>
      <c r="E34" t="s">
        <v>20</v>
      </c>
      <c r="F34" s="1">
        <v>45917.386396365742</v>
      </c>
      <c r="G34" t="s">
        <v>21</v>
      </c>
      <c r="H34" t="s">
        <v>22</v>
      </c>
      <c r="I34">
        <v>150</v>
      </c>
      <c r="J34" s="12">
        <v>133749.04688167101</v>
      </c>
      <c r="K34">
        <f>VLOOKUP(A34,[1]Sheet1!$A:$B,2,0)</f>
        <v>4</v>
      </c>
      <c r="L34" t="str">
        <f>VLOOKUP(A34,[1]Sheet1!$A:$C,3,0)</f>
        <v>4,205.00</v>
      </c>
      <c r="M34">
        <f t="shared" ref="M34:M65" si="2">IF(I34&gt;K34,I34-K34,0)</f>
        <v>146</v>
      </c>
      <c r="N34" s="11">
        <f t="shared" ref="N34:N65" si="3">L34/J34</f>
        <v>3.1439476377878056E-2</v>
      </c>
      <c r="O34" s="10" t="str">
        <f>VLOOKUP(A34,[1]Sheet1!$A:$E,5,0)</f>
        <v>08:14</v>
      </c>
      <c r="P34" t="str">
        <f>VLOOKUP(A34,[1]Sheet1!$A:$F,6,0)</f>
        <v>08:21</v>
      </c>
      <c r="Q34" t="str">
        <f>VLOOKUP(A34,[1]Sheet1!$A:$G,7,0)</f>
        <v>10:06</v>
      </c>
    </row>
    <row r="35" spans="1:17" hidden="1" x14ac:dyDescent="0.35">
      <c r="A35" t="s">
        <v>193</v>
      </c>
      <c r="B35">
        <v>1136</v>
      </c>
      <c r="C35" t="s">
        <v>94</v>
      </c>
      <c r="D35" t="s">
        <v>56</v>
      </c>
      <c r="E35" s="1" t="s">
        <v>32</v>
      </c>
      <c r="F35" s="1">
        <v>45971</v>
      </c>
      <c r="G35" t="s">
        <v>21</v>
      </c>
      <c r="H35" t="s">
        <v>22</v>
      </c>
      <c r="I35">
        <v>150</v>
      </c>
      <c r="J35" s="12">
        <v>0</v>
      </c>
      <c r="K35">
        <f>VLOOKUP(A35,[1]Sheet1!$A:$B,2,0)</f>
        <v>4</v>
      </c>
      <c r="L35" t="str">
        <f>VLOOKUP(A35,[1]Sheet1!$A:$C,3,0)</f>
        <v>2,740.00</v>
      </c>
      <c r="M35">
        <f t="shared" si="2"/>
        <v>146</v>
      </c>
      <c r="N35" s="11" t="e">
        <f t="shared" si="3"/>
        <v>#DIV/0!</v>
      </c>
      <c r="O35" s="10" t="str">
        <f>VLOOKUP(A35,[1]Sheet1!$A:$E,5,0)</f>
        <v>08:08</v>
      </c>
      <c r="P35" t="str">
        <f>VLOOKUP(A35,[1]Sheet1!$A:$F,6,0)</f>
        <v>08:28</v>
      </c>
      <c r="Q35" t="str">
        <f>VLOOKUP(A35,[1]Sheet1!$A:$G,7,0)</f>
        <v>10:05</v>
      </c>
    </row>
    <row r="36" spans="1:17" hidden="1" x14ac:dyDescent="0.35">
      <c r="A36" t="s">
        <v>40</v>
      </c>
      <c r="B36">
        <v>1028</v>
      </c>
      <c r="C36" t="s">
        <v>27</v>
      </c>
      <c r="D36" t="s">
        <v>36</v>
      </c>
      <c r="E36" t="s">
        <v>20</v>
      </c>
      <c r="F36" s="1">
        <v>44824</v>
      </c>
      <c r="G36" t="s">
        <v>21</v>
      </c>
      <c r="H36" t="s">
        <v>28</v>
      </c>
      <c r="I36">
        <v>60</v>
      </c>
      <c r="J36" s="12">
        <v>366666.66666666698</v>
      </c>
      <c r="K36">
        <f>VLOOKUP(A36,[1]Sheet1!$A:$B,2,0)</f>
        <v>3</v>
      </c>
      <c r="L36" t="str">
        <f>VLOOKUP(A36,[1]Sheet1!$A:$C,3,0)</f>
        <v>68,000.00</v>
      </c>
      <c r="M36">
        <f t="shared" si="2"/>
        <v>57</v>
      </c>
      <c r="N36" s="11">
        <f t="shared" si="3"/>
        <v>0.18545454545454529</v>
      </c>
      <c r="O36" s="10" t="str">
        <f>VLOOKUP(A36,[1]Sheet1!$A:$E,5,0)</f>
        <v>07:49</v>
      </c>
      <c r="P36" t="str">
        <f>VLOOKUP(A36,[1]Sheet1!$A:$F,6,0)</f>
        <v>07:51</v>
      </c>
      <c r="Q36" t="str">
        <f>VLOOKUP(A36,[1]Sheet1!$A:$G,7,0)</f>
        <v>09:59</v>
      </c>
    </row>
    <row r="37" spans="1:17" hidden="1" x14ac:dyDescent="0.35">
      <c r="A37" t="s">
        <v>89</v>
      </c>
      <c r="B37">
        <v>1029</v>
      </c>
      <c r="C37" t="s">
        <v>90</v>
      </c>
      <c r="D37" t="s">
        <v>85</v>
      </c>
      <c r="E37" t="s">
        <v>86</v>
      </c>
      <c r="F37" s="1">
        <v>45937.52020979167</v>
      </c>
      <c r="G37" t="s">
        <v>21</v>
      </c>
      <c r="H37" t="s">
        <v>33</v>
      </c>
      <c r="I37">
        <v>150</v>
      </c>
      <c r="J37" s="12">
        <v>209255.17281622201</v>
      </c>
      <c r="K37">
        <f>VLOOKUP(A37,[1]Sheet1!$A:$B,2,0)</f>
        <v>3</v>
      </c>
      <c r="L37" t="str">
        <f>VLOOKUP(A37,[1]Sheet1!$A:$C,3,0)</f>
        <v>21,895.00</v>
      </c>
      <c r="M37">
        <f t="shared" si="2"/>
        <v>147</v>
      </c>
      <c r="N37" s="11">
        <f t="shared" si="3"/>
        <v>0.10463301673898999</v>
      </c>
      <c r="O37" s="10" t="str">
        <f>VLOOKUP(A37,[1]Sheet1!$A:$E,5,0)</f>
        <v>08:18</v>
      </c>
      <c r="P37" t="str">
        <f>VLOOKUP(A37,[1]Sheet1!$A:$F,6,0)</f>
        <v>08:21</v>
      </c>
      <c r="Q37" t="str">
        <f>VLOOKUP(A37,[1]Sheet1!$A:$G,7,0)</f>
        <v>09:59</v>
      </c>
    </row>
    <row r="38" spans="1:17" hidden="1" x14ac:dyDescent="0.35">
      <c r="A38" t="s">
        <v>111</v>
      </c>
      <c r="B38">
        <v>1072</v>
      </c>
      <c r="C38" t="s">
        <v>112</v>
      </c>
      <c r="D38" t="s">
        <v>31</v>
      </c>
      <c r="E38" t="s">
        <v>32</v>
      </c>
      <c r="F38" s="1">
        <v>45357</v>
      </c>
      <c r="G38" t="s">
        <v>113</v>
      </c>
      <c r="H38" t="s">
        <v>28</v>
      </c>
      <c r="I38">
        <v>60</v>
      </c>
      <c r="J38" s="12">
        <v>173333.33333333299</v>
      </c>
      <c r="K38">
        <f>VLOOKUP(A38,[1]Sheet1!$A:$B,2,0)</f>
        <v>3</v>
      </c>
      <c r="L38" t="str">
        <f>VLOOKUP(A38,[1]Sheet1!$A:$C,3,0)</f>
        <v>46,500.00</v>
      </c>
      <c r="M38">
        <f t="shared" si="2"/>
        <v>57</v>
      </c>
      <c r="N38" s="11">
        <f t="shared" si="3"/>
        <v>0.26826923076923131</v>
      </c>
      <c r="O38" s="10" t="str">
        <f>VLOOKUP(A38,[1]Sheet1!$A:$E,5,0)</f>
        <v>07:31</v>
      </c>
      <c r="P38" t="str">
        <f>VLOOKUP(A38,[1]Sheet1!$A:$F,6,0)</f>
        <v>07:45</v>
      </c>
      <c r="Q38" t="str">
        <f>VLOOKUP(A38,[1]Sheet1!$A:$G,7,0)</f>
        <v>09:52</v>
      </c>
    </row>
    <row r="39" spans="1:17" hidden="1" x14ac:dyDescent="0.35">
      <c r="A39" t="s">
        <v>117</v>
      </c>
      <c r="B39">
        <v>1076</v>
      </c>
      <c r="C39" t="s">
        <v>118</v>
      </c>
      <c r="D39" t="s">
        <v>56</v>
      </c>
      <c r="E39" t="s">
        <v>32</v>
      </c>
      <c r="F39" s="1">
        <v>45057</v>
      </c>
      <c r="G39" t="s">
        <v>116</v>
      </c>
      <c r="H39" t="s">
        <v>22</v>
      </c>
      <c r="I39">
        <v>150</v>
      </c>
      <c r="J39" s="12">
        <v>219166.66666666701</v>
      </c>
      <c r="K39">
        <f>VLOOKUP(A39,[1]Sheet1!$A:$B,2,0)</f>
        <v>3</v>
      </c>
      <c r="L39" t="str">
        <f>VLOOKUP(A39,[1]Sheet1!$A:$C,3,0)</f>
        <v>13,295.00</v>
      </c>
      <c r="M39">
        <f t="shared" si="2"/>
        <v>147</v>
      </c>
      <c r="N39" s="11">
        <f t="shared" si="3"/>
        <v>6.0661596958174809E-2</v>
      </c>
      <c r="O39" s="10" t="str">
        <f>VLOOKUP(A39,[1]Sheet1!$A:$E,5,0)</f>
        <v>08:01</v>
      </c>
      <c r="P39" t="str">
        <f>VLOOKUP(A39,[1]Sheet1!$A:$F,6,0)</f>
        <v>08:08</v>
      </c>
      <c r="Q39" t="str">
        <f>VLOOKUP(A39,[1]Sheet1!$A:$G,7,0)</f>
        <v>10:05</v>
      </c>
    </row>
    <row r="40" spans="1:17" hidden="1" x14ac:dyDescent="0.35">
      <c r="A40" t="s">
        <v>140</v>
      </c>
      <c r="B40">
        <v>1096</v>
      </c>
      <c r="C40" t="s">
        <v>141</v>
      </c>
      <c r="D40" t="s">
        <v>36</v>
      </c>
      <c r="E40" t="s">
        <v>20</v>
      </c>
      <c r="F40" s="1">
        <v>45840.490828657406</v>
      </c>
      <c r="G40" t="s">
        <v>113</v>
      </c>
      <c r="H40" t="s">
        <v>22</v>
      </c>
      <c r="I40">
        <v>150</v>
      </c>
      <c r="J40" s="12">
        <v>360000</v>
      </c>
      <c r="K40">
        <f>VLOOKUP(A40,[1]Sheet1!$A:$B,2,0)</f>
        <v>3</v>
      </c>
      <c r="L40" t="str">
        <f>VLOOKUP(A40,[1]Sheet1!$A:$C,3,0)</f>
        <v>53,919.00</v>
      </c>
      <c r="M40">
        <f t="shared" si="2"/>
        <v>147</v>
      </c>
      <c r="N40" s="11">
        <f t="shared" si="3"/>
        <v>0.14977499999999999</v>
      </c>
      <c r="O40" s="10" t="str">
        <f>VLOOKUP(A40,[1]Sheet1!$A:$E,5,0)</f>
        <v>08:15</v>
      </c>
      <c r="P40" t="str">
        <f>VLOOKUP(A40,[1]Sheet1!$A:$F,6,0)</f>
        <v>08:39</v>
      </c>
      <c r="Q40" t="str">
        <f>VLOOKUP(A40,[1]Sheet1!$A:$G,7,0)</f>
        <v>09:52</v>
      </c>
    </row>
    <row r="41" spans="1:17" hidden="1" x14ac:dyDescent="0.35">
      <c r="A41" t="s">
        <v>150</v>
      </c>
      <c r="B41">
        <v>1106</v>
      </c>
      <c r="C41" t="s">
        <v>151</v>
      </c>
      <c r="D41" t="s">
        <v>56</v>
      </c>
      <c r="E41" t="s">
        <v>32</v>
      </c>
      <c r="F41" s="1">
        <v>45883</v>
      </c>
      <c r="G41" t="s">
        <v>21</v>
      </c>
      <c r="H41" t="s">
        <v>22</v>
      </c>
      <c r="I41">
        <v>150</v>
      </c>
      <c r="J41" s="12">
        <v>209166.66666666701</v>
      </c>
      <c r="K41">
        <f>VLOOKUP(A41,[1]Sheet1!$A:$B,2,0)</f>
        <v>3</v>
      </c>
      <c r="L41" t="str">
        <f>VLOOKUP(A41,[1]Sheet1!$A:$C,3,0)</f>
        <v>4,816.00</v>
      </c>
      <c r="M41">
        <f t="shared" si="2"/>
        <v>147</v>
      </c>
      <c r="N41" s="11">
        <f t="shared" si="3"/>
        <v>2.3024701195219086E-2</v>
      </c>
      <c r="O41" s="10" t="str">
        <f>VLOOKUP(A41,[1]Sheet1!$A:$E,5,0)</f>
        <v>08:19</v>
      </c>
      <c r="P41" t="str">
        <f>VLOOKUP(A41,[1]Sheet1!$A:$F,6,0)</f>
        <v>08:28</v>
      </c>
      <c r="Q41" t="str">
        <f>VLOOKUP(A41,[1]Sheet1!$A:$G,7,0)</f>
        <v>10:06</v>
      </c>
    </row>
    <row r="42" spans="1:17" hidden="1" x14ac:dyDescent="0.35">
      <c r="A42" t="s">
        <v>154</v>
      </c>
      <c r="B42">
        <v>1109</v>
      </c>
      <c r="C42" t="s">
        <v>155</v>
      </c>
      <c r="D42" t="s">
        <v>31</v>
      </c>
      <c r="E42" s="1" t="s">
        <v>32</v>
      </c>
      <c r="F42" s="1">
        <v>45896</v>
      </c>
      <c r="G42" t="s">
        <v>21</v>
      </c>
      <c r="H42" t="s">
        <v>22</v>
      </c>
      <c r="I42">
        <v>150</v>
      </c>
      <c r="J42" s="12">
        <v>196666.66666666701</v>
      </c>
      <c r="K42">
        <f>VLOOKUP(A42,[1]Sheet1!$A:$B,2,0)</f>
        <v>3</v>
      </c>
      <c r="L42" t="str">
        <f>VLOOKUP(A42,[1]Sheet1!$A:$C,3,0)</f>
        <v>1,117.00</v>
      </c>
      <c r="M42">
        <f t="shared" si="2"/>
        <v>147</v>
      </c>
      <c r="N42" s="11">
        <f t="shared" si="3"/>
        <v>5.6796610169491425E-3</v>
      </c>
      <c r="O42" s="10" t="str">
        <f>VLOOKUP(A42,[1]Sheet1!$A:$E,5,0)</f>
        <v>08:18</v>
      </c>
      <c r="P42" t="str">
        <f>VLOOKUP(A42,[1]Sheet1!$A:$F,6,0)</f>
        <v>08:25</v>
      </c>
      <c r="Q42" t="str">
        <f>VLOOKUP(A42,[1]Sheet1!$A:$G,7,0)</f>
        <v>10:06</v>
      </c>
    </row>
    <row r="43" spans="1:17" hidden="1" x14ac:dyDescent="0.35">
      <c r="A43" t="s">
        <v>156</v>
      </c>
      <c r="B43">
        <v>1062</v>
      </c>
      <c r="C43" t="s">
        <v>157</v>
      </c>
      <c r="D43" t="s">
        <v>85</v>
      </c>
      <c r="E43" t="s">
        <v>86</v>
      </c>
      <c r="F43" s="1">
        <v>45488</v>
      </c>
      <c r="G43" t="s">
        <v>21</v>
      </c>
      <c r="H43" t="s">
        <v>33</v>
      </c>
      <c r="I43">
        <v>150</v>
      </c>
      <c r="J43" s="12">
        <v>259046.50532524401</v>
      </c>
      <c r="K43">
        <f>VLOOKUP(A43,[1]Sheet1!$A:$B,2,0)</f>
        <v>3</v>
      </c>
      <c r="L43" t="str">
        <f>VLOOKUP(A43,[1]Sheet1!$A:$C,3,0)</f>
        <v>2,000.00</v>
      </c>
      <c r="M43">
        <f t="shared" si="2"/>
        <v>147</v>
      </c>
      <c r="N43" s="11">
        <f t="shared" si="3"/>
        <v>7.720621428530426E-3</v>
      </c>
      <c r="O43" s="10" t="str">
        <f>VLOOKUP(A43,[1]Sheet1!$A:$E,5,0)</f>
        <v>08:09</v>
      </c>
      <c r="P43" t="str">
        <f>VLOOKUP(A43,[1]Sheet1!$A:$F,6,0)</f>
        <v>08:12</v>
      </c>
      <c r="Q43" t="str">
        <f>VLOOKUP(A43,[1]Sheet1!$A:$G,7,0)</f>
        <v>10:05</v>
      </c>
    </row>
    <row r="44" spans="1:17" hidden="1" x14ac:dyDescent="0.35">
      <c r="A44" t="s">
        <v>163</v>
      </c>
      <c r="B44">
        <v>1017</v>
      </c>
      <c r="C44" t="s">
        <v>164</v>
      </c>
      <c r="D44" t="s">
        <v>25</v>
      </c>
      <c r="E44" t="s">
        <v>20</v>
      </c>
      <c r="F44" s="1">
        <v>45917.380964976852</v>
      </c>
      <c r="G44" t="s">
        <v>21</v>
      </c>
      <c r="H44" t="s">
        <v>22</v>
      </c>
      <c r="I44">
        <v>150</v>
      </c>
      <c r="J44" s="12">
        <v>166240.22157897099</v>
      </c>
      <c r="K44">
        <f>VLOOKUP(A44,[1]Sheet1!$A:$B,2,0)</f>
        <v>3</v>
      </c>
      <c r="L44" t="str">
        <f>VLOOKUP(A44,[1]Sheet1!$A:$C,3,0)</f>
        <v>6,825.00</v>
      </c>
      <c r="M44">
        <f t="shared" si="2"/>
        <v>147</v>
      </c>
      <c r="N44" s="11">
        <f t="shared" si="3"/>
        <v>4.1055046337013228E-2</v>
      </c>
      <c r="O44" s="10" t="str">
        <f>VLOOKUP(A44,[1]Sheet1!$A:$E,5,0)</f>
        <v>08:09</v>
      </c>
      <c r="P44" t="str">
        <f>VLOOKUP(A44,[1]Sheet1!$A:$F,6,0)</f>
        <v>08:23</v>
      </c>
      <c r="Q44" t="str">
        <f>VLOOKUP(A44,[1]Sheet1!$A:$G,7,0)</f>
        <v>10:05</v>
      </c>
    </row>
    <row r="45" spans="1:17" hidden="1" x14ac:dyDescent="0.35">
      <c r="A45" t="s">
        <v>174</v>
      </c>
      <c r="B45">
        <v>1090</v>
      </c>
      <c r="C45" t="s">
        <v>175</v>
      </c>
      <c r="D45" t="s">
        <v>85</v>
      </c>
      <c r="E45" t="s">
        <v>86</v>
      </c>
      <c r="F45" s="1">
        <v>45807</v>
      </c>
      <c r="G45" t="s">
        <v>21</v>
      </c>
      <c r="H45" t="s">
        <v>22</v>
      </c>
      <c r="I45">
        <v>150</v>
      </c>
      <c r="J45" s="12">
        <v>216623.556854372</v>
      </c>
      <c r="K45">
        <f>VLOOKUP(A45,[1]Sheet1!$A:$B,2,0)</f>
        <v>3</v>
      </c>
      <c r="L45" t="str">
        <f>VLOOKUP(A45,[1]Sheet1!$A:$C,3,0)</f>
        <v>21,500.00</v>
      </c>
      <c r="M45">
        <f t="shared" si="2"/>
        <v>147</v>
      </c>
      <c r="N45" s="11">
        <f t="shared" si="3"/>
        <v>9.9250516943795053E-2</v>
      </c>
      <c r="O45" s="10" t="str">
        <f>VLOOKUP(A45,[1]Sheet1!$A:$E,5,0)</f>
        <v>08:17</v>
      </c>
      <c r="P45" t="str">
        <f>VLOOKUP(A45,[1]Sheet1!$A:$F,6,0)</f>
        <v>08:21</v>
      </c>
      <c r="Q45" t="str">
        <f>VLOOKUP(A45,[1]Sheet1!$A:$G,7,0)</f>
        <v>10:03</v>
      </c>
    </row>
    <row r="46" spans="1:17" hidden="1" x14ac:dyDescent="0.35">
      <c r="A46" t="s">
        <v>26</v>
      </c>
      <c r="B46">
        <v>1016</v>
      </c>
      <c r="C46" t="s">
        <v>27</v>
      </c>
      <c r="D46" t="s">
        <v>25</v>
      </c>
      <c r="E46" t="s">
        <v>20</v>
      </c>
      <c r="F46" s="1">
        <v>44686</v>
      </c>
      <c r="G46" t="s">
        <v>21</v>
      </c>
      <c r="H46" t="s">
        <v>28</v>
      </c>
      <c r="I46">
        <v>60</v>
      </c>
      <c r="J46" s="12">
        <v>266666.66666666698</v>
      </c>
      <c r="K46">
        <f>VLOOKUP(A46,[1]Sheet1!$A:$B,2,0)</f>
        <v>2</v>
      </c>
      <c r="L46" t="str">
        <f>VLOOKUP(A46,[1]Sheet1!$A:$C,3,0)</f>
        <v>23,638.00</v>
      </c>
      <c r="M46">
        <f t="shared" si="2"/>
        <v>58</v>
      </c>
      <c r="N46" s="11">
        <f t="shared" si="3"/>
        <v>8.8642499999999902E-2</v>
      </c>
      <c r="O46" s="10" t="str">
        <f>VLOOKUP(A46,[1]Sheet1!$A:$E,5,0)</f>
        <v>08:12</v>
      </c>
      <c r="P46" t="str">
        <f>VLOOKUP(A46,[1]Sheet1!$A:$F,6,0)</f>
        <v>08:36</v>
      </c>
      <c r="Q46" t="str">
        <f>VLOOKUP(A46,[1]Sheet1!$A:$G,7,0)</f>
        <v>09:45</v>
      </c>
    </row>
    <row r="47" spans="1:17" hidden="1" x14ac:dyDescent="0.35">
      <c r="A47" t="s">
        <v>34</v>
      </c>
      <c r="B47">
        <v>1020</v>
      </c>
      <c r="C47" t="s">
        <v>35</v>
      </c>
      <c r="D47" t="s">
        <v>36</v>
      </c>
      <c r="E47" t="s">
        <v>20</v>
      </c>
      <c r="F47" s="1">
        <v>44686</v>
      </c>
      <c r="G47" t="s">
        <v>21</v>
      </c>
      <c r="H47" t="s">
        <v>28</v>
      </c>
      <c r="I47">
        <v>60</v>
      </c>
      <c r="J47" s="12">
        <v>360000</v>
      </c>
      <c r="K47">
        <f>VLOOKUP(A47,[1]Sheet1!$A:$B,2,0)</f>
        <v>2</v>
      </c>
      <c r="L47" t="str">
        <f>VLOOKUP(A47,[1]Sheet1!$A:$C,3,0)</f>
        <v>124,039.00</v>
      </c>
      <c r="M47">
        <f t="shared" si="2"/>
        <v>58</v>
      </c>
      <c r="N47" s="11">
        <f t="shared" si="3"/>
        <v>0.34455277777777776</v>
      </c>
      <c r="O47" s="10" t="str">
        <f>VLOOKUP(A47,[1]Sheet1!$A:$E,5,0)</f>
        <v>08:12</v>
      </c>
      <c r="P47" t="str">
        <f>VLOOKUP(A47,[1]Sheet1!$A:$F,6,0)</f>
        <v>08:18</v>
      </c>
      <c r="Q47" t="str">
        <f>VLOOKUP(A47,[1]Sheet1!$A:$G,7,0)</f>
        <v>08:46</v>
      </c>
    </row>
    <row r="48" spans="1:17" hidden="1" x14ac:dyDescent="0.35">
      <c r="A48" t="s">
        <v>45</v>
      </c>
      <c r="B48">
        <v>1032</v>
      </c>
      <c r="C48" t="s">
        <v>38</v>
      </c>
      <c r="D48" t="s">
        <v>25</v>
      </c>
      <c r="E48" t="s">
        <v>20</v>
      </c>
      <c r="F48" s="1">
        <v>44686</v>
      </c>
      <c r="G48" t="s">
        <v>21</v>
      </c>
      <c r="H48" t="s">
        <v>28</v>
      </c>
      <c r="I48">
        <v>60</v>
      </c>
      <c r="J48" s="12">
        <v>146696.02516223601</v>
      </c>
      <c r="K48">
        <f>VLOOKUP(A48,[1]Sheet1!$A:$B,2,0)</f>
        <v>2</v>
      </c>
      <c r="L48" t="str">
        <f>VLOOKUP(A48,[1]Sheet1!$A:$C,3,0)</f>
        <v>18,000.00</v>
      </c>
      <c r="M48">
        <f t="shared" si="2"/>
        <v>58</v>
      </c>
      <c r="N48" s="11">
        <f t="shared" si="3"/>
        <v>0.12270271113408289</v>
      </c>
      <c r="O48" s="10" t="str">
        <f>VLOOKUP(A48,[1]Sheet1!$A:$E,5,0)</f>
        <v>09:17</v>
      </c>
      <c r="P48" t="str">
        <f>VLOOKUP(A48,[1]Sheet1!$A:$F,6,0)</f>
        <v>09:28</v>
      </c>
      <c r="Q48" t="str">
        <f>VLOOKUP(A48,[1]Sheet1!$A:$G,7,0)</f>
        <v>09:59</v>
      </c>
    </row>
    <row r="49" spans="1:17" hidden="1" x14ac:dyDescent="0.35">
      <c r="A49" t="s">
        <v>100</v>
      </c>
      <c r="B49">
        <v>1066</v>
      </c>
      <c r="C49" t="s">
        <v>101</v>
      </c>
      <c r="D49" t="s">
        <v>85</v>
      </c>
      <c r="E49" t="s">
        <v>86</v>
      </c>
      <c r="F49" s="1">
        <v>45036</v>
      </c>
      <c r="G49" t="s">
        <v>21</v>
      </c>
      <c r="H49" t="s">
        <v>33</v>
      </c>
      <c r="I49">
        <v>150</v>
      </c>
      <c r="J49" s="12">
        <v>299717.20058336901</v>
      </c>
      <c r="K49">
        <f>VLOOKUP(A49,[1]Sheet1!$A:$B,2,0)</f>
        <v>2</v>
      </c>
      <c r="L49" t="str">
        <f>VLOOKUP(A49,[1]Sheet1!$A:$C,3,0)</f>
        <v>2,000.00</v>
      </c>
      <c r="M49">
        <f t="shared" si="2"/>
        <v>148</v>
      </c>
      <c r="N49" s="11">
        <f t="shared" si="3"/>
        <v>6.6729570278489308E-3</v>
      </c>
      <c r="O49" s="10" t="str">
        <f>VLOOKUP(A49,[1]Sheet1!$A:$E,5,0)</f>
        <v>07:16</v>
      </c>
      <c r="P49" t="str">
        <f>VLOOKUP(A49,[1]Sheet1!$A:$F,6,0)</f>
        <v>07:24</v>
      </c>
      <c r="Q49" t="str">
        <f>VLOOKUP(A49,[1]Sheet1!$A:$G,7,0)</f>
        <v>10:03</v>
      </c>
    </row>
    <row r="50" spans="1:17" hidden="1" x14ac:dyDescent="0.35">
      <c r="A50" t="s">
        <v>132</v>
      </c>
      <c r="B50">
        <v>1063</v>
      </c>
      <c r="C50" t="s">
        <v>133</v>
      </c>
      <c r="D50" t="s">
        <v>85</v>
      </c>
      <c r="E50" t="s">
        <v>86</v>
      </c>
      <c r="F50" s="1">
        <v>45509</v>
      </c>
      <c r="G50" t="s">
        <v>21</v>
      </c>
      <c r="H50" t="s">
        <v>33</v>
      </c>
      <c r="I50">
        <v>150</v>
      </c>
      <c r="J50" s="12">
        <v>147673.609510232</v>
      </c>
      <c r="K50">
        <f>VLOOKUP(A50,[1]Sheet1!$A:$B,2,0)</f>
        <v>2</v>
      </c>
      <c r="L50">
        <f>VLOOKUP(A50,[1]Sheet1!$A:$C,3,0)</f>
        <v>400</v>
      </c>
      <c r="M50">
        <f t="shared" si="2"/>
        <v>148</v>
      </c>
      <c r="N50" s="11">
        <f t="shared" si="3"/>
        <v>2.7086762579083897E-3</v>
      </c>
      <c r="O50" s="10" t="str">
        <f>VLOOKUP(A50,[1]Sheet1!$A:$E,5,0)</f>
        <v>08:14</v>
      </c>
      <c r="P50" t="str">
        <f>VLOOKUP(A50,[1]Sheet1!$A:$F,6,0)</f>
        <v>08:18</v>
      </c>
      <c r="Q50" t="str">
        <f>VLOOKUP(A50,[1]Sheet1!$A:$G,7,0)</f>
        <v>10:05</v>
      </c>
    </row>
    <row r="51" spans="1:17" hidden="1" x14ac:dyDescent="0.35">
      <c r="A51" t="s">
        <v>135</v>
      </c>
      <c r="B51">
        <v>1064</v>
      </c>
      <c r="C51" t="s">
        <v>136</v>
      </c>
      <c r="D51" t="s">
        <v>85</v>
      </c>
      <c r="E51" t="s">
        <v>86</v>
      </c>
      <c r="F51" s="1">
        <v>44686</v>
      </c>
      <c r="G51" t="s">
        <v>21</v>
      </c>
      <c r="H51" t="s">
        <v>33</v>
      </c>
      <c r="I51">
        <v>150</v>
      </c>
      <c r="J51" s="12">
        <v>182259.001677469</v>
      </c>
      <c r="K51">
        <f>VLOOKUP(A51,[1]Sheet1!$A:$B,2,0)</f>
        <v>2</v>
      </c>
      <c r="L51" t="str">
        <f>VLOOKUP(A51,[1]Sheet1!$A:$C,3,0)</f>
        <v>6,690.00</v>
      </c>
      <c r="M51">
        <f t="shared" si="2"/>
        <v>148</v>
      </c>
      <c r="N51" s="11">
        <f t="shared" si="3"/>
        <v>3.6706005949921884E-2</v>
      </c>
      <c r="O51" s="10" t="str">
        <f>VLOOKUP(A51,[1]Sheet1!$A:$E,5,0)</f>
        <v>07:49</v>
      </c>
      <c r="P51" t="str">
        <f>VLOOKUP(A51,[1]Sheet1!$A:$F,6,0)</f>
        <v>07:52</v>
      </c>
      <c r="Q51" t="str">
        <f>VLOOKUP(A51,[1]Sheet1!$A:$G,7,0)</f>
        <v>10:04</v>
      </c>
    </row>
    <row r="52" spans="1:17" hidden="1" x14ac:dyDescent="0.35">
      <c r="A52" t="s">
        <v>146</v>
      </c>
      <c r="B52">
        <v>1099</v>
      </c>
      <c r="C52" t="s">
        <v>147</v>
      </c>
      <c r="D52" t="s">
        <v>56</v>
      </c>
      <c r="E52" t="s">
        <v>32</v>
      </c>
      <c r="F52" s="1">
        <v>45849</v>
      </c>
      <c r="G52" t="s">
        <v>21</v>
      </c>
      <c r="H52" t="s">
        <v>22</v>
      </c>
      <c r="I52">
        <v>150</v>
      </c>
      <c r="J52" s="12">
        <v>293349.43822981999</v>
      </c>
      <c r="K52">
        <f>VLOOKUP(A52,[1]Sheet1!$A:$B,2,0)</f>
        <v>2</v>
      </c>
      <c r="L52" t="str">
        <f>VLOOKUP(A52,[1]Sheet1!$A:$C,3,0)</f>
        <v>13,155.00</v>
      </c>
      <c r="M52">
        <f t="shared" si="2"/>
        <v>148</v>
      </c>
      <c r="N52" s="11">
        <f t="shared" si="3"/>
        <v>4.4844128829365351E-2</v>
      </c>
      <c r="O52" s="10" t="str">
        <f>VLOOKUP(A52,[1]Sheet1!$A:$E,5,0)</f>
        <v>08:03</v>
      </c>
      <c r="P52" t="str">
        <f>VLOOKUP(A52,[1]Sheet1!$A:$F,6,0)</f>
        <v>08:23</v>
      </c>
      <c r="Q52" t="str">
        <f>VLOOKUP(A52,[1]Sheet1!$A:$G,7,0)</f>
        <v>10:06</v>
      </c>
    </row>
    <row r="53" spans="1:17" hidden="1" x14ac:dyDescent="0.35">
      <c r="A53" t="s">
        <v>148</v>
      </c>
      <c r="B53">
        <v>1061</v>
      </c>
      <c r="C53" t="s">
        <v>149</v>
      </c>
      <c r="D53" t="s">
        <v>85</v>
      </c>
      <c r="E53" t="s">
        <v>86</v>
      </c>
      <c r="F53" s="1">
        <v>45390</v>
      </c>
      <c r="G53" t="s">
        <v>21</v>
      </c>
      <c r="H53" t="s">
        <v>33</v>
      </c>
      <c r="I53">
        <v>150</v>
      </c>
      <c r="J53" s="12">
        <v>217821.26891814001</v>
      </c>
      <c r="K53">
        <f>VLOOKUP(A53,[1]Sheet1!$A:$B,2,0)</f>
        <v>2</v>
      </c>
      <c r="L53" t="str">
        <f>VLOOKUP(A53,[1]Sheet1!$A:$C,3,0)</f>
        <v>2,397.00</v>
      </c>
      <c r="M53">
        <f t="shared" si="2"/>
        <v>148</v>
      </c>
      <c r="N53" s="11">
        <f t="shared" si="3"/>
        <v>1.1004435020993394E-2</v>
      </c>
      <c r="O53" s="10" t="str">
        <f>VLOOKUP(A53,[1]Sheet1!$A:$E,5,0)</f>
        <v>08:04</v>
      </c>
      <c r="P53" t="str">
        <f>VLOOKUP(A53,[1]Sheet1!$A:$F,6,0)</f>
        <v>08:06</v>
      </c>
      <c r="Q53" t="str">
        <f>VLOOKUP(A53,[1]Sheet1!$A:$G,7,0)</f>
        <v>10:05</v>
      </c>
    </row>
    <row r="54" spans="1:17" hidden="1" x14ac:dyDescent="0.35">
      <c r="A54" t="s">
        <v>158</v>
      </c>
      <c r="B54">
        <v>1068</v>
      </c>
      <c r="C54" t="s">
        <v>109</v>
      </c>
      <c r="D54" t="s">
        <v>85</v>
      </c>
      <c r="E54" t="s">
        <v>86</v>
      </c>
      <c r="F54" s="1">
        <v>45170</v>
      </c>
      <c r="G54" t="s">
        <v>21</v>
      </c>
      <c r="H54" t="s">
        <v>33</v>
      </c>
      <c r="I54">
        <v>150</v>
      </c>
      <c r="J54" s="12">
        <v>168558.86776886499</v>
      </c>
      <c r="K54">
        <f>VLOOKUP(A54,[1]Sheet1!$A:$B,2,0)</f>
        <v>2</v>
      </c>
      <c r="L54" t="str">
        <f>VLOOKUP(A54,[1]Sheet1!$A:$C,3,0)</f>
        <v>3,900.00</v>
      </c>
      <c r="M54">
        <f t="shared" si="2"/>
        <v>148</v>
      </c>
      <c r="N54" s="11">
        <f t="shared" si="3"/>
        <v>2.3137317256709651E-2</v>
      </c>
      <c r="O54" s="10" t="str">
        <f>VLOOKUP(A54,[1]Sheet1!$A:$E,5,0)</f>
        <v>08:28</v>
      </c>
      <c r="P54" t="str">
        <f>VLOOKUP(A54,[1]Sheet1!$A:$F,6,0)</f>
        <v>08:30</v>
      </c>
      <c r="Q54" t="str">
        <f>VLOOKUP(A54,[1]Sheet1!$A:$G,7,0)</f>
        <v>10:05</v>
      </c>
    </row>
    <row r="55" spans="1:17" hidden="1" x14ac:dyDescent="0.35">
      <c r="A55" t="s">
        <v>187</v>
      </c>
      <c r="B55">
        <v>1113</v>
      </c>
      <c r="C55" t="s">
        <v>188</v>
      </c>
      <c r="D55" t="s">
        <v>85</v>
      </c>
      <c r="E55" t="s">
        <v>86</v>
      </c>
      <c r="F55" s="1">
        <v>45904.532826192131</v>
      </c>
      <c r="G55" t="s">
        <v>21</v>
      </c>
      <c r="H55" t="s">
        <v>22</v>
      </c>
      <c r="I55">
        <v>150</v>
      </c>
      <c r="J55" s="12">
        <v>301105.79880480003</v>
      </c>
      <c r="K55">
        <f>VLOOKUP(A55,[1]Sheet1!$A:$B,2,0)</f>
        <v>2</v>
      </c>
      <c r="L55" t="str">
        <f>VLOOKUP(A55,[1]Sheet1!$A:$C,3,0)</f>
        <v>8,145.00</v>
      </c>
      <c r="M55">
        <f t="shared" si="2"/>
        <v>148</v>
      </c>
      <c r="N55" s="11">
        <f t="shared" si="3"/>
        <v>2.7050292728770117E-2</v>
      </c>
      <c r="O55" s="10" t="str">
        <f>VLOOKUP(A55,[1]Sheet1!$A:$E,5,0)</f>
        <v>07:47</v>
      </c>
      <c r="P55" t="str">
        <f>VLOOKUP(A55,[1]Sheet1!$A:$F,6,0)</f>
        <v>07:51</v>
      </c>
      <c r="Q55" t="str">
        <f>VLOOKUP(A55,[1]Sheet1!$A:$G,7,0)</f>
        <v>10:06</v>
      </c>
    </row>
    <row r="56" spans="1:17" hidden="1" x14ac:dyDescent="0.35">
      <c r="A56" t="s">
        <v>190</v>
      </c>
      <c r="B56">
        <v>1127</v>
      </c>
      <c r="C56" t="s">
        <v>105</v>
      </c>
      <c r="D56" t="s">
        <v>56</v>
      </c>
      <c r="E56" t="s">
        <v>32</v>
      </c>
      <c r="F56" s="1">
        <v>45943.452219027778</v>
      </c>
      <c r="G56" t="s">
        <v>21</v>
      </c>
      <c r="H56" t="s">
        <v>33</v>
      </c>
      <c r="I56">
        <v>150</v>
      </c>
      <c r="J56" s="12">
        <v>206666.66666666701</v>
      </c>
      <c r="K56">
        <f>VLOOKUP(A56,[1]Sheet1!$A:$B,2,0)</f>
        <v>2</v>
      </c>
      <c r="L56" t="str">
        <f>VLOOKUP(A56,[1]Sheet1!$A:$C,3,0)</f>
        <v>6,111.00</v>
      </c>
      <c r="M56">
        <f t="shared" si="2"/>
        <v>148</v>
      </c>
      <c r="N56" s="11">
        <f t="shared" si="3"/>
        <v>2.9569354838709629E-2</v>
      </c>
      <c r="O56" s="10" t="str">
        <f>VLOOKUP(A56,[1]Sheet1!$A:$E,5,0)</f>
        <v>08:24</v>
      </c>
      <c r="P56" t="str">
        <f>VLOOKUP(A56,[1]Sheet1!$A:$F,6,0)</f>
        <v>08:34</v>
      </c>
      <c r="Q56" t="str">
        <f>VLOOKUP(A56,[1]Sheet1!$A:$G,7,0)</f>
        <v>10:04</v>
      </c>
    </row>
    <row r="57" spans="1:17" hidden="1" x14ac:dyDescent="0.35">
      <c r="A57" t="s">
        <v>48</v>
      </c>
      <c r="B57">
        <v>1036</v>
      </c>
      <c r="C57" t="s">
        <v>27</v>
      </c>
      <c r="D57" t="s">
        <v>36</v>
      </c>
      <c r="E57" t="s">
        <v>20</v>
      </c>
      <c r="F57" s="1">
        <v>44686</v>
      </c>
      <c r="G57" t="s">
        <v>21</v>
      </c>
      <c r="H57" t="s">
        <v>49</v>
      </c>
      <c r="I57">
        <v>105</v>
      </c>
      <c r="J57" s="12">
        <v>54475.029556301</v>
      </c>
      <c r="K57">
        <f>VLOOKUP(A57,[1]Sheet1!$A:$B,2,0)</f>
        <v>1</v>
      </c>
      <c r="L57" t="str">
        <f>VLOOKUP(A57,[1]Sheet1!$A:$C,3,0)</f>
        <v>10,000.00</v>
      </c>
      <c r="M57">
        <f t="shared" si="2"/>
        <v>104</v>
      </c>
      <c r="N57" s="11">
        <f t="shared" si="3"/>
        <v>0.18357034555924023</v>
      </c>
      <c r="O57" s="10" t="str">
        <f>VLOOKUP(A57,[1]Sheet1!$A:$E,5,0)</f>
        <v>08:39</v>
      </c>
      <c r="P57" t="str">
        <f>VLOOKUP(A57,[1]Sheet1!$A:$F,6,0)</f>
        <v>08:50</v>
      </c>
      <c r="Q57" t="str">
        <f>VLOOKUP(A57,[1]Sheet1!$A:$G,7,0)</f>
        <v>10:02</v>
      </c>
    </row>
    <row r="58" spans="1:17" hidden="1" x14ac:dyDescent="0.35">
      <c r="A58" t="s">
        <v>74</v>
      </c>
      <c r="B58">
        <v>1003</v>
      </c>
      <c r="C58" t="s">
        <v>75</v>
      </c>
      <c r="D58" t="s">
        <v>19</v>
      </c>
      <c r="E58" t="s">
        <v>20</v>
      </c>
      <c r="F58" s="1">
        <v>44963</v>
      </c>
      <c r="G58" t="s">
        <v>21</v>
      </c>
      <c r="H58" t="s">
        <v>76</v>
      </c>
      <c r="I58">
        <v>105</v>
      </c>
      <c r="J58" s="12">
        <v>280418.99356681702</v>
      </c>
      <c r="K58">
        <f>VLOOKUP(A58,[1]Sheet1!$A:$B,2,0)</f>
        <v>1</v>
      </c>
      <c r="L58">
        <f>VLOOKUP(A58,[1]Sheet1!$A:$C,3,0)</f>
        <v>200</v>
      </c>
      <c r="M58">
        <f t="shared" si="2"/>
        <v>104</v>
      </c>
      <c r="N58" s="11">
        <f t="shared" si="3"/>
        <v>7.1321845020581626E-4</v>
      </c>
      <c r="O58" s="10" t="str">
        <f>VLOOKUP(A58,[1]Sheet1!$A:$E,5,0)</f>
        <v>08:57</v>
      </c>
      <c r="P58" t="str">
        <f>VLOOKUP(A58,[1]Sheet1!$A:$F,6,0)</f>
        <v>08:58</v>
      </c>
      <c r="Q58" t="str">
        <f>VLOOKUP(A58,[1]Sheet1!$A:$G,7,0)</f>
        <v>10:04</v>
      </c>
    </row>
    <row r="59" spans="1:17" hidden="1" x14ac:dyDescent="0.35">
      <c r="A59" t="s">
        <v>83</v>
      </c>
      <c r="B59">
        <v>1058</v>
      </c>
      <c r="C59" t="s">
        <v>84</v>
      </c>
      <c r="D59" t="s">
        <v>85</v>
      </c>
      <c r="E59" t="s">
        <v>86</v>
      </c>
      <c r="F59" s="1">
        <v>45594</v>
      </c>
      <c r="G59" t="s">
        <v>21</v>
      </c>
      <c r="H59" t="s">
        <v>33</v>
      </c>
      <c r="I59">
        <v>150</v>
      </c>
      <c r="J59" s="12">
        <v>290682.221179799</v>
      </c>
      <c r="K59">
        <f>VLOOKUP(A59,[1]Sheet1!$A:$B,2,0)</f>
        <v>1</v>
      </c>
      <c r="L59" t="str">
        <f>VLOOKUP(A59,[1]Sheet1!$A:$C,3,0)</f>
        <v>3,000.00</v>
      </c>
      <c r="M59">
        <f t="shared" si="2"/>
        <v>149</v>
      </c>
      <c r="N59" s="11">
        <f t="shared" si="3"/>
        <v>1.0320548631504972E-2</v>
      </c>
      <c r="O59" s="10" t="str">
        <f>VLOOKUP(A59,[1]Sheet1!$A:$E,5,0)</f>
        <v>08:17</v>
      </c>
      <c r="P59" t="str">
        <f>VLOOKUP(A59,[1]Sheet1!$A:$F,6,0)</f>
        <v>08:20</v>
      </c>
      <c r="Q59" t="str">
        <f>VLOOKUP(A59,[1]Sheet1!$A:$G,7,0)</f>
        <v>10:04</v>
      </c>
    </row>
    <row r="60" spans="1:17" hidden="1" x14ac:dyDescent="0.35">
      <c r="A60" t="s">
        <v>87</v>
      </c>
      <c r="B60">
        <v>1040</v>
      </c>
      <c r="C60" t="s">
        <v>88</v>
      </c>
      <c r="D60" t="s">
        <v>25</v>
      </c>
      <c r="E60" t="s">
        <v>20</v>
      </c>
      <c r="F60" s="1">
        <v>45734</v>
      </c>
      <c r="G60" t="s">
        <v>21</v>
      </c>
      <c r="H60" t="s">
        <v>22</v>
      </c>
      <c r="I60">
        <v>150</v>
      </c>
      <c r="J60" s="12">
        <v>147435.897435897</v>
      </c>
      <c r="K60">
        <f>VLOOKUP(A60,[1]Sheet1!$A:$B,2,0)</f>
        <v>1</v>
      </c>
      <c r="L60">
        <f>VLOOKUP(A60,[1]Sheet1!$A:$C,3,0)</f>
        <v>454.54</v>
      </c>
      <c r="M60">
        <f t="shared" si="2"/>
        <v>149</v>
      </c>
      <c r="N60" s="11">
        <f t="shared" si="3"/>
        <v>3.0829669565217484E-3</v>
      </c>
      <c r="O60" s="10" t="str">
        <f>VLOOKUP(A60,[1]Sheet1!$A:$E,5,0)</f>
        <v>08:11</v>
      </c>
      <c r="P60" t="str">
        <f>VLOOKUP(A60,[1]Sheet1!$A:$F,6,0)</f>
        <v>08:14</v>
      </c>
      <c r="Q60" t="str">
        <f>VLOOKUP(A60,[1]Sheet1!$A:$G,7,0)</f>
        <v>10:03</v>
      </c>
    </row>
    <row r="61" spans="1:17" hidden="1" x14ac:dyDescent="0.35">
      <c r="A61" t="s">
        <v>110</v>
      </c>
      <c r="B61">
        <v>1018</v>
      </c>
      <c r="C61" t="s">
        <v>18</v>
      </c>
      <c r="D61" t="s">
        <v>19</v>
      </c>
      <c r="E61" t="s">
        <v>20</v>
      </c>
      <c r="F61" s="1">
        <v>44686</v>
      </c>
      <c r="G61" t="s">
        <v>21</v>
      </c>
      <c r="H61" t="s">
        <v>33</v>
      </c>
      <c r="I61">
        <v>150</v>
      </c>
      <c r="J61" s="12">
        <v>145454.545454545</v>
      </c>
      <c r="K61">
        <f>VLOOKUP(A61,[1]Sheet1!$A:$B,2,0)</f>
        <v>1</v>
      </c>
      <c r="L61" t="str">
        <f>VLOOKUP(A61,[1]Sheet1!$A:$C,3,0)</f>
        <v>1,739.71</v>
      </c>
      <c r="M61">
        <f t="shared" si="2"/>
        <v>149</v>
      </c>
      <c r="N61" s="11">
        <f t="shared" si="3"/>
        <v>1.1960506250000037E-2</v>
      </c>
      <c r="O61" s="10" t="str">
        <f>VLOOKUP(A61,[1]Sheet1!$A:$E,5,0)</f>
        <v>07:19</v>
      </c>
      <c r="P61" t="str">
        <f>VLOOKUP(A61,[1]Sheet1!$A:$F,6,0)</f>
        <v>08:03</v>
      </c>
      <c r="Q61" t="str">
        <f>VLOOKUP(A61,[1]Sheet1!$A:$G,7,0)</f>
        <v>10:06</v>
      </c>
    </row>
    <row r="62" spans="1:17" hidden="1" x14ac:dyDescent="0.35">
      <c r="A62" t="s">
        <v>122</v>
      </c>
      <c r="B62">
        <v>1079</v>
      </c>
      <c r="C62" t="s">
        <v>62</v>
      </c>
      <c r="D62" t="s">
        <v>19</v>
      </c>
      <c r="E62" t="s">
        <v>20</v>
      </c>
      <c r="F62" s="1">
        <v>45170</v>
      </c>
      <c r="G62" t="s">
        <v>121</v>
      </c>
      <c r="H62" t="s">
        <v>22</v>
      </c>
      <c r="I62">
        <v>150</v>
      </c>
      <c r="J62" s="12">
        <v>147435.897435897</v>
      </c>
      <c r="K62">
        <f>VLOOKUP(A62,[1]Sheet1!$A:$B,2,0)</f>
        <v>1</v>
      </c>
      <c r="L62" t="str">
        <f>VLOOKUP(A62,[1]Sheet1!$A:$C,3,0)</f>
        <v>1,216.00</v>
      </c>
      <c r="M62">
        <f t="shared" si="2"/>
        <v>149</v>
      </c>
      <c r="N62" s="11">
        <f t="shared" si="3"/>
        <v>8.2476521739130674E-3</v>
      </c>
      <c r="O62" s="10" t="str">
        <f>VLOOKUP(A62,[1]Sheet1!$A:$E,5,0)</f>
        <v>08:14</v>
      </c>
      <c r="P62" t="str">
        <f>VLOOKUP(A62,[1]Sheet1!$A:$F,6,0)</f>
        <v>08:23</v>
      </c>
      <c r="Q62" t="str">
        <f>VLOOKUP(A62,[1]Sheet1!$A:$G,7,0)</f>
        <v>10:04</v>
      </c>
    </row>
    <row r="63" spans="1:17" hidden="1" x14ac:dyDescent="0.35">
      <c r="A63" t="s">
        <v>123</v>
      </c>
      <c r="B63">
        <v>1080</v>
      </c>
      <c r="C63" t="s">
        <v>120</v>
      </c>
      <c r="D63" t="s">
        <v>19</v>
      </c>
      <c r="E63" t="s">
        <v>20</v>
      </c>
      <c r="F63" s="1">
        <v>45138</v>
      </c>
      <c r="G63" t="s">
        <v>121</v>
      </c>
      <c r="H63" t="s">
        <v>22</v>
      </c>
      <c r="I63">
        <v>150</v>
      </c>
      <c r="J63" s="12">
        <v>182380.95238095199</v>
      </c>
      <c r="K63">
        <f>VLOOKUP(A63,[1]Sheet1!$A:$B,2,0)</f>
        <v>1</v>
      </c>
      <c r="L63">
        <f>VLOOKUP(A63,[1]Sheet1!$A:$C,3,0)</f>
        <v>606</v>
      </c>
      <c r="M63">
        <f t="shared" si="2"/>
        <v>149</v>
      </c>
      <c r="N63" s="11">
        <f t="shared" si="3"/>
        <v>3.3227154046997459E-3</v>
      </c>
      <c r="O63" s="10" t="str">
        <f>VLOOKUP(A63,[1]Sheet1!$A:$E,5,0)</f>
        <v>08:10</v>
      </c>
      <c r="P63" t="str">
        <f>VLOOKUP(A63,[1]Sheet1!$A:$F,6,0)</f>
        <v>08:16</v>
      </c>
      <c r="Q63" t="str">
        <f>VLOOKUP(A63,[1]Sheet1!$A:$G,7,0)</f>
        <v>10:02</v>
      </c>
    </row>
    <row r="64" spans="1:17" hidden="1" x14ac:dyDescent="0.35">
      <c r="A64" t="s">
        <v>124</v>
      </c>
      <c r="B64">
        <v>1082</v>
      </c>
      <c r="C64" t="s">
        <v>62</v>
      </c>
      <c r="D64" t="s">
        <v>19</v>
      </c>
      <c r="E64" t="s">
        <v>20</v>
      </c>
      <c r="F64" s="1">
        <v>45125</v>
      </c>
      <c r="G64" t="s">
        <v>121</v>
      </c>
      <c r="H64" t="s">
        <v>22</v>
      </c>
      <c r="I64">
        <v>150</v>
      </c>
      <c r="J64" s="12">
        <v>147435.897435897</v>
      </c>
      <c r="K64">
        <f>VLOOKUP(A64,[1]Sheet1!$A:$B,2,0)</f>
        <v>1</v>
      </c>
      <c r="L64" t="str">
        <f>VLOOKUP(A64,[1]Sheet1!$A:$C,3,0)</f>
        <v>1,000.00</v>
      </c>
      <c r="M64">
        <f t="shared" si="2"/>
        <v>149</v>
      </c>
      <c r="N64" s="11">
        <f t="shared" si="3"/>
        <v>6.7826086956521937E-3</v>
      </c>
      <c r="O64" s="10" t="str">
        <f>VLOOKUP(A64,[1]Sheet1!$A:$E,5,0)</f>
        <v>07:50</v>
      </c>
      <c r="P64" t="str">
        <f>VLOOKUP(A64,[1]Sheet1!$A:$F,6,0)</f>
        <v>08:33</v>
      </c>
      <c r="Q64" t="str">
        <f>VLOOKUP(A64,[1]Sheet1!$A:$G,7,0)</f>
        <v>10:01</v>
      </c>
    </row>
    <row r="65" spans="1:17" hidden="1" x14ac:dyDescent="0.35">
      <c r="A65" t="s">
        <v>127</v>
      </c>
      <c r="B65">
        <v>1030</v>
      </c>
      <c r="C65" t="s">
        <v>128</v>
      </c>
      <c r="D65" t="s">
        <v>19</v>
      </c>
      <c r="E65" t="s">
        <v>20</v>
      </c>
      <c r="F65" s="1">
        <v>44964</v>
      </c>
      <c r="G65" t="s">
        <v>21</v>
      </c>
      <c r="H65" t="s">
        <v>76</v>
      </c>
      <c r="I65">
        <v>105</v>
      </c>
      <c r="J65" s="12">
        <v>80276.723073650195</v>
      </c>
      <c r="K65">
        <f>VLOOKUP(A65,[1]Sheet1!$A:$B,2,0)</f>
        <v>1</v>
      </c>
      <c r="L65" t="str">
        <f>VLOOKUP(A65,[1]Sheet1!$A:$C,3,0)</f>
        <v>183,000.00</v>
      </c>
      <c r="M65">
        <f t="shared" si="2"/>
        <v>104</v>
      </c>
      <c r="N65" s="11">
        <f t="shared" si="3"/>
        <v>2.2796147250817143</v>
      </c>
      <c r="O65" s="10" t="str">
        <f>VLOOKUP(A65,[1]Sheet1!$A:$E,5,0)</f>
        <v>08:23</v>
      </c>
      <c r="P65" t="str">
        <f>VLOOKUP(A65,[1]Sheet1!$A:$F,6,0)</f>
        <v>08:30</v>
      </c>
      <c r="Q65" t="str">
        <f>VLOOKUP(A65,[1]Sheet1!$A:$G,7,0)</f>
        <v>09:24</v>
      </c>
    </row>
    <row r="66" spans="1:17" hidden="1" x14ac:dyDescent="0.35">
      <c r="A66" t="s">
        <v>134</v>
      </c>
      <c r="B66">
        <v>1091</v>
      </c>
      <c r="C66" t="s">
        <v>38</v>
      </c>
      <c r="D66" t="s">
        <v>25</v>
      </c>
      <c r="E66" t="s">
        <v>20</v>
      </c>
      <c r="F66" s="1">
        <v>45813</v>
      </c>
      <c r="G66" t="s">
        <v>21</v>
      </c>
      <c r="H66" t="s">
        <v>28</v>
      </c>
      <c r="I66">
        <v>60</v>
      </c>
      <c r="J66" s="12">
        <v>90558.619182380004</v>
      </c>
      <c r="K66">
        <f>VLOOKUP(A66,[1]Sheet1!$A:$B,2,0)</f>
        <v>1</v>
      </c>
      <c r="L66">
        <f>VLOOKUP(A66,[1]Sheet1!$A:$C,3,0)</f>
        <v>500</v>
      </c>
      <c r="M66">
        <f t="shared" ref="M66:M98" si="4">IF(I66&gt;K66,I66-K66,0)</f>
        <v>59</v>
      </c>
      <c r="N66" s="11">
        <f t="shared" ref="N66:N98" si="5">L66/J66</f>
        <v>5.5212855994748317E-3</v>
      </c>
      <c r="O66" s="10" t="str">
        <f>VLOOKUP(A66,[1]Sheet1!$A:$E,5,0)</f>
        <v>08:04</v>
      </c>
      <c r="P66" t="str">
        <f>VLOOKUP(A66,[1]Sheet1!$A:$F,6,0)</f>
        <v>08:12</v>
      </c>
      <c r="Q66" t="str">
        <f>VLOOKUP(A66,[1]Sheet1!$A:$G,7,0)</f>
        <v>10:04</v>
      </c>
    </row>
    <row r="67" spans="1:17" hidden="1" x14ac:dyDescent="0.35">
      <c r="A67" t="s">
        <v>159</v>
      </c>
      <c r="B67">
        <v>1069</v>
      </c>
      <c r="C67" t="s">
        <v>109</v>
      </c>
      <c r="D67" t="s">
        <v>85</v>
      </c>
      <c r="E67" t="s">
        <v>86</v>
      </c>
      <c r="F67" s="1">
        <v>45324</v>
      </c>
      <c r="G67" t="s">
        <v>21</v>
      </c>
      <c r="H67" t="s">
        <v>33</v>
      </c>
      <c r="I67">
        <v>150</v>
      </c>
      <c r="J67" s="12">
        <v>169406.10331662599</v>
      </c>
      <c r="K67">
        <f>VLOOKUP(A67,[1]Sheet1!$A:$B,2,0)</f>
        <v>1</v>
      </c>
      <c r="L67" t="str">
        <f>VLOOKUP(A67,[1]Sheet1!$A:$C,3,0)</f>
        <v>5,645.00</v>
      </c>
      <c r="M67">
        <f t="shared" si="4"/>
        <v>149</v>
      </c>
      <c r="N67" s="11">
        <f t="shared" si="5"/>
        <v>3.3322294117404352E-2</v>
      </c>
      <c r="O67" s="10" t="str">
        <f>VLOOKUP(A67,[1]Sheet1!$A:$E,5,0)</f>
        <v>08:11</v>
      </c>
      <c r="P67" t="str">
        <f>VLOOKUP(A67,[1]Sheet1!$A:$F,6,0)</f>
        <v>08:12</v>
      </c>
      <c r="Q67" t="str">
        <f>VLOOKUP(A67,[1]Sheet1!$A:$G,7,0)</f>
        <v>10:06</v>
      </c>
    </row>
    <row r="68" spans="1:17" hidden="1" x14ac:dyDescent="0.35">
      <c r="A68" t="s">
        <v>176</v>
      </c>
      <c r="B68">
        <v>1092</v>
      </c>
      <c r="C68" t="s">
        <v>177</v>
      </c>
      <c r="D68" t="s">
        <v>56</v>
      </c>
      <c r="E68" t="s">
        <v>32</v>
      </c>
      <c r="F68" s="1">
        <v>45819.367432094907</v>
      </c>
      <c r="G68" t="s">
        <v>21</v>
      </c>
      <c r="H68" t="s">
        <v>22</v>
      </c>
      <c r="I68">
        <v>150</v>
      </c>
      <c r="J68" s="12">
        <v>209166.66666666701</v>
      </c>
      <c r="K68">
        <f>VLOOKUP(A68,[1]Sheet1!$A:$B,2,0)</f>
        <v>1</v>
      </c>
      <c r="L68" t="str">
        <f>VLOOKUP(A68,[1]Sheet1!$A:$C,3,0)</f>
        <v>2,000.00</v>
      </c>
      <c r="M68">
        <f t="shared" si="4"/>
        <v>149</v>
      </c>
      <c r="N68" s="11">
        <f t="shared" si="5"/>
        <v>9.5617529880477926E-3</v>
      </c>
      <c r="O68" s="10" t="str">
        <f>VLOOKUP(A68,[1]Sheet1!$A:$E,5,0)</f>
        <v>08:24</v>
      </c>
      <c r="P68" t="str">
        <f>VLOOKUP(A68,[1]Sheet1!$A:$F,6,0)</f>
        <v>08:36</v>
      </c>
      <c r="Q68" t="str">
        <f>VLOOKUP(A68,[1]Sheet1!$A:$G,7,0)</f>
        <v>09:50</v>
      </c>
    </row>
    <row r="69" spans="1:17" hidden="1" x14ac:dyDescent="0.35">
      <c r="A69" t="s">
        <v>37</v>
      </c>
      <c r="B69">
        <v>1022</v>
      </c>
      <c r="C69" t="s">
        <v>38</v>
      </c>
      <c r="D69" t="s">
        <v>25</v>
      </c>
      <c r="E69" t="s">
        <v>20</v>
      </c>
      <c r="F69" s="1">
        <v>45355</v>
      </c>
      <c r="G69" t="s">
        <v>21</v>
      </c>
      <c r="H69" t="s">
        <v>28</v>
      </c>
      <c r="I69">
        <v>60</v>
      </c>
      <c r="J69" s="12">
        <v>133657.82447946499</v>
      </c>
      <c r="K69">
        <f>VLOOKUP(A69,[1]Sheet1!$A:$B,2,0)</f>
        <v>0</v>
      </c>
      <c r="L69">
        <f>VLOOKUP(A69,[1]Sheet1!$A:$C,3,0)</f>
        <v>0</v>
      </c>
      <c r="M69">
        <f t="shared" si="4"/>
        <v>60</v>
      </c>
      <c r="N69" s="11">
        <f t="shared" si="5"/>
        <v>0</v>
      </c>
      <c r="O69" s="10" t="str">
        <f>VLOOKUP(A69,[1]Sheet1!$A:$E,5,0)</f>
        <v>08:38</v>
      </c>
      <c r="P69" t="str">
        <f>VLOOKUP(A69,[1]Sheet1!$A:$F,6,0)</f>
        <v>09:17</v>
      </c>
      <c r="Q69" t="str">
        <f>VLOOKUP(A69,[1]Sheet1!$A:$G,7,0)</f>
        <v>10:06</v>
      </c>
    </row>
    <row r="70" spans="1:17" hidden="1" x14ac:dyDescent="0.35">
      <c r="A70" t="s">
        <v>39</v>
      </c>
      <c r="B70">
        <v>1026</v>
      </c>
      <c r="C70" t="s">
        <v>27</v>
      </c>
      <c r="D70" t="s">
        <v>25</v>
      </c>
      <c r="E70" t="s">
        <v>20</v>
      </c>
      <c r="F70" s="1">
        <v>45271</v>
      </c>
      <c r="G70" t="s">
        <v>21</v>
      </c>
      <c r="H70" t="s">
        <v>28</v>
      </c>
      <c r="I70">
        <v>60</v>
      </c>
      <c r="J70" s="12">
        <v>333333.33333333302</v>
      </c>
      <c r="K70">
        <f>VLOOKUP(A70,[1]Sheet1!$A:$B,2,0)</f>
        <v>0</v>
      </c>
      <c r="L70">
        <f>VLOOKUP(A70,[1]Sheet1!$A:$C,3,0)</f>
        <v>0</v>
      </c>
      <c r="M70">
        <f t="shared" si="4"/>
        <v>60</v>
      </c>
      <c r="N70" s="11">
        <f t="shared" si="5"/>
        <v>0</v>
      </c>
      <c r="O70" s="10" t="str">
        <f>VLOOKUP(A70,[1]Sheet1!$A:$E,5,0)</f>
        <v>08:20</v>
      </c>
      <c r="P70" t="str">
        <f>VLOOKUP(A70,[1]Sheet1!$A:$F,6,0)</f>
        <v>08:30</v>
      </c>
      <c r="Q70" t="str">
        <f>VLOOKUP(A70,[1]Sheet1!$A:$G,7,0)</f>
        <v>10:01</v>
      </c>
    </row>
    <row r="71" spans="1:17" hidden="1" x14ac:dyDescent="0.35">
      <c r="A71" t="s">
        <v>43</v>
      </c>
      <c r="B71">
        <v>1031</v>
      </c>
      <c r="C71" t="s">
        <v>44</v>
      </c>
      <c r="D71" t="s">
        <v>19</v>
      </c>
      <c r="E71" t="s">
        <v>20</v>
      </c>
      <c r="F71" s="1">
        <v>45091</v>
      </c>
      <c r="G71" t="s">
        <v>21</v>
      </c>
      <c r="H71" t="s">
        <v>28</v>
      </c>
      <c r="I71">
        <v>60</v>
      </c>
      <c r="J71" s="12">
        <v>219554.78247356901</v>
      </c>
      <c r="K71">
        <f>VLOOKUP(A71,[1]Sheet1!$A:$B,2,0)</f>
        <v>0</v>
      </c>
      <c r="L71">
        <f>VLOOKUP(A71,[1]Sheet1!$A:$C,3,0)</f>
        <v>0</v>
      </c>
      <c r="M71">
        <f t="shared" si="4"/>
        <v>60</v>
      </c>
      <c r="N71" s="11">
        <f t="shared" si="5"/>
        <v>0</v>
      </c>
      <c r="O71" s="10" t="str">
        <f>VLOOKUP(A71,[1]Sheet1!$A:$E,5,0)</f>
        <v/>
      </c>
      <c r="P71" t="str">
        <f>VLOOKUP(A71,[1]Sheet1!$A:$F,6,0)</f>
        <v/>
      </c>
      <c r="Q71" t="str">
        <f>VLOOKUP(A71,[1]Sheet1!$A:$G,7,0)</f>
        <v/>
      </c>
    </row>
    <row r="72" spans="1:17" hidden="1" x14ac:dyDescent="0.35">
      <c r="A72" t="s">
        <v>46</v>
      </c>
      <c r="B72">
        <v>1033</v>
      </c>
      <c r="C72" t="s">
        <v>24</v>
      </c>
      <c r="D72" t="s">
        <v>36</v>
      </c>
      <c r="E72" t="s">
        <v>20</v>
      </c>
      <c r="F72" s="1">
        <v>45483</v>
      </c>
      <c r="G72" t="s">
        <v>21</v>
      </c>
      <c r="H72" t="s">
        <v>33</v>
      </c>
      <c r="I72">
        <v>150</v>
      </c>
      <c r="J72" s="12">
        <v>360000</v>
      </c>
      <c r="K72">
        <f>VLOOKUP(A72,[1]Sheet1!$A:$B,2,0)</f>
        <v>0</v>
      </c>
      <c r="L72">
        <f>VLOOKUP(A72,[1]Sheet1!$A:$C,3,0)</f>
        <v>0</v>
      </c>
      <c r="M72">
        <f t="shared" si="4"/>
        <v>150</v>
      </c>
      <c r="N72" s="11">
        <f t="shared" si="5"/>
        <v>0</v>
      </c>
      <c r="O72" s="10" t="str">
        <f>VLOOKUP(A72,[1]Sheet1!$A:$E,5,0)</f>
        <v>08:08</v>
      </c>
      <c r="P72" t="str">
        <f>VLOOKUP(A72,[1]Sheet1!$A:$F,6,0)</f>
        <v>08:17</v>
      </c>
      <c r="Q72" t="str">
        <f>VLOOKUP(A72,[1]Sheet1!$A:$G,7,0)</f>
        <v>09:12</v>
      </c>
    </row>
    <row r="73" spans="1:17" hidden="1" x14ac:dyDescent="0.35">
      <c r="A73" t="s">
        <v>57</v>
      </c>
      <c r="B73">
        <v>1041</v>
      </c>
      <c r="C73" t="s">
        <v>27</v>
      </c>
      <c r="D73" t="s">
        <v>36</v>
      </c>
      <c r="E73" t="s">
        <v>20</v>
      </c>
      <c r="F73" s="1">
        <v>45756</v>
      </c>
      <c r="G73" t="s">
        <v>21</v>
      </c>
      <c r="H73" t="s">
        <v>28</v>
      </c>
      <c r="I73">
        <v>60</v>
      </c>
      <c r="J73" s="12">
        <v>366666.66666666698</v>
      </c>
      <c r="K73">
        <f>VLOOKUP(A73,[1]Sheet1!$A:$B,2,0)</f>
        <v>0</v>
      </c>
      <c r="L73">
        <f>VLOOKUP(A73,[1]Sheet1!$A:$C,3,0)</f>
        <v>0</v>
      </c>
      <c r="M73">
        <f t="shared" si="4"/>
        <v>60</v>
      </c>
      <c r="N73" s="11">
        <f t="shared" si="5"/>
        <v>0</v>
      </c>
      <c r="O73" s="10" t="str">
        <f>VLOOKUP(A73,[1]Sheet1!$A:$E,5,0)</f>
        <v>08:08</v>
      </c>
      <c r="P73" t="str">
        <f>VLOOKUP(A73,[1]Sheet1!$A:$F,6,0)</f>
        <v>08:28</v>
      </c>
      <c r="Q73" t="str">
        <f>VLOOKUP(A73,[1]Sheet1!$A:$G,7,0)</f>
        <v>09:37</v>
      </c>
    </row>
    <row r="74" spans="1:17" hidden="1" x14ac:dyDescent="0.35">
      <c r="A74" t="s">
        <v>58</v>
      </c>
      <c r="B74">
        <v>1042</v>
      </c>
      <c r="C74" t="s">
        <v>59</v>
      </c>
      <c r="D74" t="s">
        <v>19</v>
      </c>
      <c r="E74" t="s">
        <v>20</v>
      </c>
      <c r="F74" s="1">
        <v>45757</v>
      </c>
      <c r="G74" t="s">
        <v>21</v>
      </c>
      <c r="H74" t="s">
        <v>28</v>
      </c>
      <c r="I74">
        <v>60</v>
      </c>
      <c r="J74" s="12">
        <v>553257.15635594504</v>
      </c>
      <c r="K74">
        <f>VLOOKUP(A74,[1]Sheet1!$A:$B,2,0)</f>
        <v>0</v>
      </c>
      <c r="L74">
        <f>VLOOKUP(A74,[1]Sheet1!$A:$C,3,0)</f>
        <v>0</v>
      </c>
      <c r="M74">
        <f t="shared" si="4"/>
        <v>60</v>
      </c>
      <c r="N74" s="11">
        <f t="shared" si="5"/>
        <v>0</v>
      </c>
      <c r="O74" s="10" t="str">
        <f>VLOOKUP(A74,[1]Sheet1!$A:$E,5,0)</f>
        <v>08:15</v>
      </c>
      <c r="P74" t="str">
        <f>VLOOKUP(A74,[1]Sheet1!$A:$F,6,0)</f>
        <v>08:24</v>
      </c>
      <c r="Q74" t="str">
        <f>VLOOKUP(A74,[1]Sheet1!$A:$G,7,0)</f>
        <v>09:58</v>
      </c>
    </row>
    <row r="75" spans="1:17" hidden="1" x14ac:dyDescent="0.35">
      <c r="A75" t="s">
        <v>60</v>
      </c>
      <c r="B75">
        <v>1043</v>
      </c>
      <c r="C75" t="s">
        <v>38</v>
      </c>
      <c r="D75" t="s">
        <v>25</v>
      </c>
      <c r="E75" t="s">
        <v>20</v>
      </c>
      <c r="F75" s="1">
        <v>45757</v>
      </c>
      <c r="G75" t="s">
        <v>21</v>
      </c>
      <c r="H75" t="s">
        <v>28</v>
      </c>
      <c r="I75">
        <v>60</v>
      </c>
      <c r="J75" s="12">
        <v>99581.385051912206</v>
      </c>
      <c r="K75">
        <f>VLOOKUP(A75,[1]Sheet1!$A:$B,2,0)</f>
        <v>0</v>
      </c>
      <c r="L75">
        <f>VLOOKUP(A75,[1]Sheet1!$A:$C,3,0)</f>
        <v>0</v>
      </c>
      <c r="M75">
        <f t="shared" si="4"/>
        <v>60</v>
      </c>
      <c r="N75" s="11">
        <f t="shared" si="5"/>
        <v>0</v>
      </c>
      <c r="O75" s="10" t="str">
        <f>VLOOKUP(A75,[1]Sheet1!$A:$E,5,0)</f>
        <v>08:03</v>
      </c>
      <c r="P75" t="str">
        <f>VLOOKUP(A75,[1]Sheet1!$A:$F,6,0)</f>
        <v>08:05</v>
      </c>
      <c r="Q75" t="str">
        <f>VLOOKUP(A75,[1]Sheet1!$A:$G,7,0)</f>
        <v>09:54</v>
      </c>
    </row>
    <row r="76" spans="1:17" hidden="1" x14ac:dyDescent="0.35">
      <c r="A76" t="s">
        <v>61</v>
      </c>
      <c r="B76">
        <v>1044</v>
      </c>
      <c r="C76" t="s">
        <v>62</v>
      </c>
      <c r="D76" t="s">
        <v>19</v>
      </c>
      <c r="E76" t="s">
        <v>20</v>
      </c>
      <c r="F76" s="1">
        <v>45756</v>
      </c>
      <c r="G76" t="s">
        <v>21</v>
      </c>
      <c r="H76" t="s">
        <v>22</v>
      </c>
      <c r="I76">
        <v>150</v>
      </c>
      <c r="J76" s="12">
        <v>145454.545454545</v>
      </c>
      <c r="K76">
        <f>VLOOKUP(A76,[1]Sheet1!$A:$B,2,0)</f>
        <v>0</v>
      </c>
      <c r="L76">
        <f>VLOOKUP(A76,[1]Sheet1!$A:$C,3,0)</f>
        <v>0</v>
      </c>
      <c r="M76">
        <f t="shared" si="4"/>
        <v>150</v>
      </c>
      <c r="N76" s="11">
        <f t="shared" si="5"/>
        <v>0</v>
      </c>
      <c r="O76" s="10" t="str">
        <f>VLOOKUP(A76,[1]Sheet1!$A:$E,5,0)</f>
        <v/>
      </c>
      <c r="P76" t="str">
        <f>VLOOKUP(A76,[1]Sheet1!$A:$F,6,0)</f>
        <v/>
      </c>
      <c r="Q76" t="str">
        <f>VLOOKUP(A76,[1]Sheet1!$A:$G,7,0)</f>
        <v/>
      </c>
    </row>
    <row r="77" spans="1:17" hidden="1" x14ac:dyDescent="0.35">
      <c r="A77" t="s">
        <v>64</v>
      </c>
      <c r="B77">
        <v>1046</v>
      </c>
      <c r="C77" t="s">
        <v>51</v>
      </c>
      <c r="D77" t="s">
        <v>31</v>
      </c>
      <c r="E77" t="s">
        <v>32</v>
      </c>
      <c r="F77" s="1">
        <v>45749</v>
      </c>
      <c r="G77" t="s">
        <v>21</v>
      </c>
      <c r="H77" t="s">
        <v>49</v>
      </c>
      <c r="I77">
        <v>105</v>
      </c>
      <c r="J77" s="12">
        <v>0</v>
      </c>
      <c r="K77">
        <f>VLOOKUP(A77,[1]Sheet1!$A:$B,2,0)</f>
        <v>0</v>
      </c>
      <c r="L77">
        <f>VLOOKUP(A77,[1]Sheet1!$A:$C,3,0)</f>
        <v>0</v>
      </c>
      <c r="M77">
        <f t="shared" si="4"/>
        <v>105</v>
      </c>
      <c r="N77" s="11" t="e">
        <f t="shared" si="5"/>
        <v>#DIV/0!</v>
      </c>
      <c r="O77" s="10" t="str">
        <f>VLOOKUP(A77,[1]Sheet1!$A:$E,5,0)</f>
        <v/>
      </c>
      <c r="P77" t="str">
        <f>VLOOKUP(A77,[1]Sheet1!$A:$F,6,0)</f>
        <v/>
      </c>
      <c r="Q77" t="str">
        <f>VLOOKUP(A77,[1]Sheet1!$A:$G,7,0)</f>
        <v/>
      </c>
    </row>
    <row r="78" spans="1:17" hidden="1" x14ac:dyDescent="0.35">
      <c r="A78" t="s">
        <v>80</v>
      </c>
      <c r="B78">
        <v>1055</v>
      </c>
      <c r="C78" t="s">
        <v>24</v>
      </c>
      <c r="D78" t="s">
        <v>31</v>
      </c>
      <c r="E78" t="s">
        <v>32</v>
      </c>
      <c r="F78" s="1">
        <v>45240</v>
      </c>
      <c r="G78" t="s">
        <v>21</v>
      </c>
      <c r="H78" t="s">
        <v>49</v>
      </c>
      <c r="I78">
        <v>105</v>
      </c>
      <c r="J78" s="12">
        <v>171135.23905999999</v>
      </c>
      <c r="K78">
        <f>VLOOKUP(A78,[1]Sheet1!$A:$B,2,0)</f>
        <v>0</v>
      </c>
      <c r="L78">
        <f>VLOOKUP(A78,[1]Sheet1!$A:$C,3,0)</f>
        <v>0</v>
      </c>
      <c r="M78">
        <f t="shared" si="4"/>
        <v>105</v>
      </c>
      <c r="N78" s="11">
        <f t="shared" si="5"/>
        <v>0</v>
      </c>
      <c r="O78" s="10" t="str">
        <f>VLOOKUP(A78,[1]Sheet1!$A:$E,5,0)</f>
        <v/>
      </c>
      <c r="P78" t="str">
        <f>VLOOKUP(A78,[1]Sheet1!$A:$F,6,0)</f>
        <v/>
      </c>
      <c r="Q78" t="str">
        <f>VLOOKUP(A78,[1]Sheet1!$A:$G,7,0)</f>
        <v/>
      </c>
    </row>
    <row r="79" spans="1:17" hidden="1" x14ac:dyDescent="0.35">
      <c r="A79" t="s">
        <v>91</v>
      </c>
      <c r="B79">
        <v>1133</v>
      </c>
      <c r="C79" t="s">
        <v>92</v>
      </c>
      <c r="D79" t="s">
        <v>85</v>
      </c>
      <c r="E79" s="1" t="s">
        <v>86</v>
      </c>
      <c r="F79" s="1">
        <v>45965</v>
      </c>
      <c r="G79" t="s">
        <v>21</v>
      </c>
      <c r="H79" t="s">
        <v>76</v>
      </c>
      <c r="I79">
        <v>105</v>
      </c>
      <c r="J79" s="12">
        <v>229526.157602344</v>
      </c>
      <c r="K79">
        <f>VLOOKUP(A79,[1]Sheet1!$A:$B,2,0)</f>
        <v>0</v>
      </c>
      <c r="L79">
        <f>VLOOKUP(A79,[1]Sheet1!$A:$C,3,0)</f>
        <v>0</v>
      </c>
      <c r="M79">
        <f t="shared" si="4"/>
        <v>105</v>
      </c>
      <c r="N79" s="11">
        <f t="shared" si="5"/>
        <v>0</v>
      </c>
      <c r="O79" s="10" t="str">
        <f>VLOOKUP(A79,[1]Sheet1!$A:$E,5,0)</f>
        <v/>
      </c>
      <c r="P79" t="str">
        <f>VLOOKUP(A79,[1]Sheet1!$A:$F,6,0)</f>
        <v/>
      </c>
      <c r="Q79" t="str">
        <f>VLOOKUP(A79,[1]Sheet1!$A:$G,7,0)</f>
        <v/>
      </c>
    </row>
    <row r="80" spans="1:17" hidden="1" x14ac:dyDescent="0.35">
      <c r="A80" t="s">
        <v>108</v>
      </c>
      <c r="B80">
        <v>1070</v>
      </c>
      <c r="C80" t="s">
        <v>109</v>
      </c>
      <c r="D80" t="s">
        <v>85</v>
      </c>
      <c r="E80" t="s">
        <v>86</v>
      </c>
      <c r="F80" s="1">
        <v>45335</v>
      </c>
      <c r="G80" t="s">
        <v>21</v>
      </c>
      <c r="H80" t="s">
        <v>33</v>
      </c>
      <c r="I80">
        <v>150</v>
      </c>
      <c r="J80" s="12">
        <v>161995.900763524</v>
      </c>
      <c r="K80">
        <f>VLOOKUP(A80,[1]Sheet1!$A:$B,2,0)</f>
        <v>0</v>
      </c>
      <c r="L80">
        <f>VLOOKUP(A80,[1]Sheet1!$A:$C,3,0)</f>
        <v>0</v>
      </c>
      <c r="M80">
        <f t="shared" si="4"/>
        <v>150</v>
      </c>
      <c r="N80" s="11">
        <f t="shared" si="5"/>
        <v>0</v>
      </c>
      <c r="O80" s="10" t="str">
        <f>VLOOKUP(A80,[1]Sheet1!$A:$E,5,0)</f>
        <v>08:11</v>
      </c>
      <c r="P80" t="str">
        <f>VLOOKUP(A80,[1]Sheet1!$A:$F,6,0)</f>
        <v>08:16</v>
      </c>
      <c r="Q80" t="str">
        <f>VLOOKUP(A80,[1]Sheet1!$A:$G,7,0)</f>
        <v>09:55</v>
      </c>
    </row>
    <row r="81" spans="1:17" x14ac:dyDescent="0.35">
      <c r="A81" t="s">
        <v>114</v>
      </c>
      <c r="B81">
        <v>1073</v>
      </c>
      <c r="C81" t="s">
        <v>62</v>
      </c>
      <c r="D81" t="s">
        <v>31</v>
      </c>
      <c r="E81" t="s">
        <v>32</v>
      </c>
      <c r="F81" s="1">
        <v>45084</v>
      </c>
      <c r="G81" t="s">
        <v>113</v>
      </c>
      <c r="H81" t="s">
        <v>33</v>
      </c>
      <c r="I81">
        <v>150</v>
      </c>
      <c r="J81" s="12">
        <v>147435.897435897</v>
      </c>
      <c r="K81">
        <f>VLOOKUP(A81,[1]Sheet1!$A:$B,2,0)</f>
        <v>0</v>
      </c>
      <c r="L81">
        <f>VLOOKUP(A81,[1]Sheet1!$A:$C,3,0)</f>
        <v>0</v>
      </c>
      <c r="M81">
        <f t="shared" si="4"/>
        <v>150</v>
      </c>
      <c r="N81" s="11">
        <f t="shared" si="5"/>
        <v>0</v>
      </c>
      <c r="O81" s="10" t="str">
        <f>VLOOKUP(A81,[1]Sheet1!$A:$E,5,0)</f>
        <v>08:25</v>
      </c>
      <c r="P81" t="str">
        <f>VLOOKUP(A81,[1]Sheet1!$A:$F,6,0)</f>
        <v>08:33</v>
      </c>
      <c r="Q81" t="str">
        <f>VLOOKUP(A81,[1]Sheet1!$A:$G,7,0)</f>
        <v>09:47</v>
      </c>
    </row>
    <row r="82" spans="1:17" x14ac:dyDescent="0.35">
      <c r="A82" t="s">
        <v>115</v>
      </c>
      <c r="B82">
        <v>1074</v>
      </c>
      <c r="C82" t="s">
        <v>51</v>
      </c>
      <c r="D82" t="s">
        <v>56</v>
      </c>
      <c r="E82" t="s">
        <v>32</v>
      </c>
      <c r="F82" s="1">
        <v>44956</v>
      </c>
      <c r="G82" t="s">
        <v>116</v>
      </c>
      <c r="H82" t="s">
        <v>22</v>
      </c>
      <c r="I82">
        <v>150</v>
      </c>
      <c r="J82" s="12">
        <v>362644.869022078</v>
      </c>
      <c r="K82">
        <f>VLOOKUP(A82,[1]Sheet1!$A:$B,2,0)</f>
        <v>0</v>
      </c>
      <c r="L82">
        <f>VLOOKUP(A82,[1]Sheet1!$A:$C,3,0)</f>
        <v>0</v>
      </c>
      <c r="M82">
        <f t="shared" si="4"/>
        <v>150</v>
      </c>
      <c r="N82" s="11">
        <f t="shared" si="5"/>
        <v>0</v>
      </c>
      <c r="O82" s="10" t="str">
        <f>VLOOKUP(A82,[1]Sheet1!$A:$E,5,0)</f>
        <v/>
      </c>
      <c r="P82" t="str">
        <f>VLOOKUP(A82,[1]Sheet1!$A:$F,6,0)</f>
        <v/>
      </c>
      <c r="Q82" t="str">
        <f>VLOOKUP(A82,[1]Sheet1!$A:$G,7,0)</f>
        <v/>
      </c>
    </row>
    <row r="83" spans="1:17" x14ac:dyDescent="0.35">
      <c r="A83" t="s">
        <v>119</v>
      </c>
      <c r="B83">
        <v>1078</v>
      </c>
      <c r="C83" t="s">
        <v>120</v>
      </c>
      <c r="D83" t="s">
        <v>19</v>
      </c>
      <c r="E83" t="s">
        <v>20</v>
      </c>
      <c r="F83" s="1">
        <v>45506</v>
      </c>
      <c r="G83" t="s">
        <v>121</v>
      </c>
      <c r="H83" t="s">
        <v>22</v>
      </c>
      <c r="I83">
        <v>150</v>
      </c>
      <c r="J83" s="12">
        <v>66666.666666666701</v>
      </c>
      <c r="K83">
        <f>VLOOKUP(A83,[1]Sheet1!$A:$B,2,0)</f>
        <v>0</v>
      </c>
      <c r="L83">
        <f>VLOOKUP(A83,[1]Sheet1!$A:$C,3,0)</f>
        <v>0</v>
      </c>
      <c r="M83">
        <f t="shared" si="4"/>
        <v>150</v>
      </c>
      <c r="N83" s="11">
        <f t="shared" si="5"/>
        <v>0</v>
      </c>
      <c r="O83" s="10" t="str">
        <f>VLOOKUP(A83,[1]Sheet1!$A:$E,5,0)</f>
        <v>08:29</v>
      </c>
      <c r="P83" t="str">
        <f>VLOOKUP(A83,[1]Sheet1!$A:$F,6,0)</f>
        <v>08:36</v>
      </c>
      <c r="Q83" t="str">
        <f>VLOOKUP(A83,[1]Sheet1!$A:$G,7,0)</f>
        <v>10:04</v>
      </c>
    </row>
    <row r="84" spans="1:17" hidden="1" x14ac:dyDescent="0.35">
      <c r="A84" t="s">
        <v>129</v>
      </c>
      <c r="B84">
        <v>1086</v>
      </c>
      <c r="C84" t="s">
        <v>35</v>
      </c>
      <c r="D84" t="s">
        <v>36</v>
      </c>
      <c r="E84" t="s">
        <v>20</v>
      </c>
      <c r="F84" s="1">
        <v>45789</v>
      </c>
      <c r="G84" t="s">
        <v>21</v>
      </c>
      <c r="H84" t="s">
        <v>22</v>
      </c>
      <c r="I84">
        <v>150</v>
      </c>
      <c r="J84" s="12">
        <v>360000</v>
      </c>
      <c r="K84">
        <f>VLOOKUP(A84,[1]Sheet1!$A:$B,2,0)</f>
        <v>0</v>
      </c>
      <c r="L84">
        <f>VLOOKUP(A84,[1]Sheet1!$A:$C,3,0)</f>
        <v>0</v>
      </c>
      <c r="M84">
        <f t="shared" si="4"/>
        <v>150</v>
      </c>
      <c r="N84" s="11">
        <f t="shared" si="5"/>
        <v>0</v>
      </c>
      <c r="O84" s="10" t="str">
        <f>VLOOKUP(A84,[1]Sheet1!$A:$E,5,0)</f>
        <v>08:01</v>
      </c>
      <c r="P84" t="str">
        <f>VLOOKUP(A84,[1]Sheet1!$A:$F,6,0)</f>
        <v>08:04</v>
      </c>
      <c r="Q84" t="str">
        <f>VLOOKUP(A84,[1]Sheet1!$A:$G,7,0)</f>
        <v>09:50</v>
      </c>
    </row>
    <row r="85" spans="1:17" hidden="1" x14ac:dyDescent="0.35">
      <c r="A85" t="s">
        <v>130</v>
      </c>
      <c r="B85">
        <v>1088</v>
      </c>
      <c r="C85" t="s">
        <v>131</v>
      </c>
      <c r="D85" t="s">
        <v>19</v>
      </c>
      <c r="E85" t="s">
        <v>20</v>
      </c>
      <c r="F85" s="1">
        <v>45793</v>
      </c>
      <c r="G85" t="s">
        <v>21</v>
      </c>
      <c r="H85" t="s">
        <v>22</v>
      </c>
      <c r="I85">
        <v>150</v>
      </c>
      <c r="J85" s="12">
        <v>226223.77622377599</v>
      </c>
      <c r="K85">
        <f>VLOOKUP(A85,[1]Sheet1!$A:$B,2,0)</f>
        <v>0</v>
      </c>
      <c r="L85">
        <f>VLOOKUP(A85,[1]Sheet1!$A:$C,3,0)</f>
        <v>0</v>
      </c>
      <c r="M85">
        <f t="shared" si="4"/>
        <v>150</v>
      </c>
      <c r="N85" s="11">
        <f t="shared" si="5"/>
        <v>0</v>
      </c>
      <c r="O85" s="10" t="str">
        <f>VLOOKUP(A85,[1]Sheet1!$A:$E,5,0)</f>
        <v/>
      </c>
      <c r="P85" t="str">
        <f>VLOOKUP(A85,[1]Sheet1!$A:$F,6,0)</f>
        <v/>
      </c>
      <c r="Q85" t="str">
        <f>VLOOKUP(A85,[1]Sheet1!$A:$G,7,0)</f>
        <v/>
      </c>
    </row>
    <row r="86" spans="1:17" hidden="1" x14ac:dyDescent="0.35">
      <c r="A86" t="s">
        <v>138</v>
      </c>
      <c r="B86">
        <v>1095</v>
      </c>
      <c r="C86" t="s">
        <v>139</v>
      </c>
      <c r="D86" t="s">
        <v>56</v>
      </c>
      <c r="E86" t="s">
        <v>32</v>
      </c>
      <c r="F86" s="1">
        <v>45840.426848460651</v>
      </c>
      <c r="G86" t="s">
        <v>21</v>
      </c>
      <c r="H86" t="s">
        <v>22</v>
      </c>
      <c r="I86">
        <v>150</v>
      </c>
      <c r="J86" s="12">
        <v>209166.66666666701</v>
      </c>
      <c r="K86">
        <f>VLOOKUP(A86,[1]Sheet1!$A:$B,2,0)</f>
        <v>0</v>
      </c>
      <c r="L86">
        <f>VLOOKUP(A86,[1]Sheet1!$A:$C,3,0)</f>
        <v>0</v>
      </c>
      <c r="M86">
        <f t="shared" si="4"/>
        <v>150</v>
      </c>
      <c r="N86" s="11">
        <f t="shared" si="5"/>
        <v>0</v>
      </c>
      <c r="O86" s="10" t="str">
        <f>VLOOKUP(A86,[1]Sheet1!$A:$E,5,0)</f>
        <v>08:04</v>
      </c>
      <c r="P86" t="str">
        <f>VLOOKUP(A86,[1]Sheet1!$A:$F,6,0)</f>
        <v>08:20</v>
      </c>
      <c r="Q86" t="str">
        <f>VLOOKUP(A86,[1]Sheet1!$A:$G,7,0)</f>
        <v>10:06</v>
      </c>
    </row>
    <row r="87" spans="1:17" hidden="1" x14ac:dyDescent="0.35">
      <c r="A87" t="s">
        <v>166</v>
      </c>
      <c r="B87">
        <v>1021</v>
      </c>
      <c r="C87" t="s">
        <v>167</v>
      </c>
      <c r="D87" t="s">
        <v>168</v>
      </c>
      <c r="E87" t="s">
        <v>169</v>
      </c>
      <c r="F87" s="1">
        <v>45926.634754259256</v>
      </c>
      <c r="G87" t="s">
        <v>21</v>
      </c>
      <c r="H87" t="s">
        <v>22</v>
      </c>
      <c r="I87">
        <v>150</v>
      </c>
      <c r="J87" s="12">
        <v>0</v>
      </c>
      <c r="K87">
        <f>VLOOKUP(A87,[1]Sheet1!$A:$B,2,0)</f>
        <v>0</v>
      </c>
      <c r="L87">
        <f>VLOOKUP(A87,[1]Sheet1!$A:$C,3,0)</f>
        <v>0</v>
      </c>
      <c r="M87">
        <f t="shared" si="4"/>
        <v>150</v>
      </c>
      <c r="N87" s="11" t="e">
        <f t="shared" si="5"/>
        <v>#DIV/0!</v>
      </c>
      <c r="O87" s="10" t="str">
        <f>VLOOKUP(A87,[1]Sheet1!$A:$E,5,0)</f>
        <v/>
      </c>
      <c r="P87" t="str">
        <f>VLOOKUP(A87,[1]Sheet1!$A:$F,6,0)</f>
        <v/>
      </c>
      <c r="Q87" t="str">
        <f>VLOOKUP(A87,[1]Sheet1!$A:$G,7,0)</f>
        <v/>
      </c>
    </row>
    <row r="88" spans="1:17" hidden="1" x14ac:dyDescent="0.35">
      <c r="A88" t="s">
        <v>170</v>
      </c>
      <c r="B88">
        <v>1023</v>
      </c>
      <c r="C88" t="s">
        <v>167</v>
      </c>
      <c r="D88" t="s">
        <v>168</v>
      </c>
      <c r="E88" t="s">
        <v>169</v>
      </c>
      <c r="F88" s="1">
        <v>45926.635607511576</v>
      </c>
      <c r="G88" t="s">
        <v>21</v>
      </c>
      <c r="H88" t="s">
        <v>22</v>
      </c>
      <c r="I88">
        <v>150</v>
      </c>
      <c r="J88" s="12">
        <v>0</v>
      </c>
      <c r="K88">
        <f>VLOOKUP(A88,[1]Sheet1!$A:$B,2,0)</f>
        <v>0</v>
      </c>
      <c r="L88">
        <f>VLOOKUP(A88,[1]Sheet1!$A:$C,3,0)</f>
        <v>0</v>
      </c>
      <c r="M88">
        <f t="shared" si="4"/>
        <v>150</v>
      </c>
      <c r="N88" s="11" t="e">
        <f t="shared" si="5"/>
        <v>#DIV/0!</v>
      </c>
      <c r="O88" s="10" t="str">
        <f>VLOOKUP(A88,[1]Sheet1!$A:$E,5,0)</f>
        <v/>
      </c>
      <c r="P88" t="str">
        <f>VLOOKUP(A88,[1]Sheet1!$A:$F,6,0)</f>
        <v/>
      </c>
      <c r="Q88" t="str">
        <f>VLOOKUP(A88,[1]Sheet1!$A:$G,7,0)</f>
        <v/>
      </c>
    </row>
    <row r="89" spans="1:17" hidden="1" x14ac:dyDescent="0.35">
      <c r="A89" t="s">
        <v>171</v>
      </c>
      <c r="B89">
        <v>1085</v>
      </c>
      <c r="C89" t="s">
        <v>172</v>
      </c>
      <c r="D89" t="s">
        <v>56</v>
      </c>
      <c r="E89" t="s">
        <v>32</v>
      </c>
      <c r="F89" s="1">
        <v>45785</v>
      </c>
      <c r="G89" t="s">
        <v>21</v>
      </c>
      <c r="H89" t="s">
        <v>22</v>
      </c>
      <c r="I89">
        <v>150</v>
      </c>
      <c r="J89" s="12">
        <v>147954.545454545</v>
      </c>
      <c r="K89">
        <f>VLOOKUP(A89,[1]Sheet1!$A:$B,2,0)</f>
        <v>0</v>
      </c>
      <c r="L89">
        <f>VLOOKUP(A89,[1]Sheet1!$A:$C,3,0)</f>
        <v>0</v>
      </c>
      <c r="M89">
        <f t="shared" si="4"/>
        <v>150</v>
      </c>
      <c r="N89" s="11">
        <f t="shared" si="5"/>
        <v>0</v>
      </c>
      <c r="O89" s="10" t="str">
        <f>VLOOKUP(A89,[1]Sheet1!$A:$E,5,0)</f>
        <v/>
      </c>
      <c r="P89" t="str">
        <f>VLOOKUP(A89,[1]Sheet1!$A:$F,6,0)</f>
        <v/>
      </c>
      <c r="Q89" t="str">
        <f>VLOOKUP(A89,[1]Sheet1!$A:$G,7,0)</f>
        <v/>
      </c>
    </row>
    <row r="90" spans="1:17" hidden="1" x14ac:dyDescent="0.35">
      <c r="A90" t="s">
        <v>173</v>
      </c>
      <c r="B90">
        <v>1027</v>
      </c>
      <c r="C90" t="s">
        <v>59</v>
      </c>
      <c r="D90" t="s">
        <v>19</v>
      </c>
      <c r="E90" s="1" t="s">
        <v>20</v>
      </c>
      <c r="F90" s="1">
        <v>45936.495864375</v>
      </c>
      <c r="G90" t="s">
        <v>21</v>
      </c>
      <c r="H90" t="s">
        <v>28</v>
      </c>
      <c r="I90">
        <v>60</v>
      </c>
      <c r="K90">
        <f>VLOOKUP(A90,[1]Sheet1!$A:$B,2,0)</f>
        <v>0</v>
      </c>
      <c r="L90">
        <f>VLOOKUP(A90,[1]Sheet1!$A:$C,3,0)</f>
        <v>0</v>
      </c>
      <c r="M90">
        <f t="shared" si="4"/>
        <v>60</v>
      </c>
      <c r="N90" s="11" t="e">
        <f t="shared" si="5"/>
        <v>#DIV/0!</v>
      </c>
      <c r="O90" s="10" t="str">
        <f>VLOOKUP(A90,[1]Sheet1!$A:$E,5,0)</f>
        <v>08:06</v>
      </c>
      <c r="P90" t="str">
        <f>VLOOKUP(A90,[1]Sheet1!$A:$F,6,0)</f>
        <v>08:19</v>
      </c>
      <c r="Q90" t="str">
        <f>VLOOKUP(A90,[1]Sheet1!$A:$G,7,0)</f>
        <v>10:06</v>
      </c>
    </row>
    <row r="91" spans="1:17" x14ac:dyDescent="0.35">
      <c r="A91" t="s">
        <v>178</v>
      </c>
      <c r="B91">
        <v>1126</v>
      </c>
      <c r="C91" t="s">
        <v>179</v>
      </c>
      <c r="D91" t="s">
        <v>19</v>
      </c>
      <c r="E91" t="s">
        <v>20</v>
      </c>
      <c r="F91" s="1">
        <v>45630</v>
      </c>
      <c r="G91" t="s">
        <v>121</v>
      </c>
      <c r="H91" t="s">
        <v>22</v>
      </c>
      <c r="I91">
        <v>150</v>
      </c>
      <c r="J91" s="12">
        <v>66666.666666666701</v>
      </c>
      <c r="K91">
        <f>VLOOKUP(A91,[1]Sheet1!$A:$B,2,0)</f>
        <v>0</v>
      </c>
      <c r="L91">
        <f>VLOOKUP(A91,[1]Sheet1!$A:$C,3,0)</f>
        <v>0</v>
      </c>
      <c r="M91">
        <f t="shared" si="4"/>
        <v>150</v>
      </c>
      <c r="N91" s="11">
        <f t="shared" si="5"/>
        <v>0</v>
      </c>
      <c r="O91" s="10" t="str">
        <f>VLOOKUP(A91,[1]Sheet1!$A:$E,5,0)</f>
        <v>08:38</v>
      </c>
      <c r="P91" t="str">
        <f>VLOOKUP(A91,[1]Sheet1!$A:$F,6,0)</f>
        <v>08:39</v>
      </c>
      <c r="Q91" t="str">
        <f>VLOOKUP(A91,[1]Sheet1!$A:$G,7,0)</f>
        <v>09:35</v>
      </c>
    </row>
    <row r="92" spans="1:17" hidden="1" x14ac:dyDescent="0.35">
      <c r="A92" t="s">
        <v>180</v>
      </c>
      <c r="B92">
        <v>1129</v>
      </c>
      <c r="C92" t="s">
        <v>24</v>
      </c>
      <c r="D92" t="s">
        <v>36</v>
      </c>
      <c r="E92" s="1" t="s">
        <v>20</v>
      </c>
      <c r="F92" t="s">
        <v>181</v>
      </c>
      <c r="G92" t="s">
        <v>21</v>
      </c>
      <c r="H92" t="s">
        <v>28</v>
      </c>
      <c r="I92">
        <v>60</v>
      </c>
      <c r="J92" s="12">
        <v>360000</v>
      </c>
      <c r="K92">
        <f>VLOOKUP(A92,[1]Sheet1!$A:$B,2,0)</f>
        <v>0</v>
      </c>
      <c r="L92">
        <f>VLOOKUP(A92,[1]Sheet1!$A:$C,3,0)</f>
        <v>0</v>
      </c>
      <c r="M92">
        <f t="shared" si="4"/>
        <v>60</v>
      </c>
      <c r="N92" s="11">
        <f t="shared" si="5"/>
        <v>0</v>
      </c>
      <c r="O92" s="10" t="str">
        <f>VLOOKUP(A92,[1]Sheet1!$A:$E,5,0)</f>
        <v>08:03</v>
      </c>
      <c r="P92" t="str">
        <f>VLOOKUP(A92,[1]Sheet1!$A:$F,6,0)</f>
        <v>08:04</v>
      </c>
      <c r="Q92" t="str">
        <f>VLOOKUP(A92,[1]Sheet1!$A:$G,7,0)</f>
        <v>08:58</v>
      </c>
    </row>
    <row r="93" spans="1:17" hidden="1" x14ac:dyDescent="0.35">
      <c r="A93" t="s">
        <v>183</v>
      </c>
      <c r="B93">
        <v>1131</v>
      </c>
      <c r="C93" t="s">
        <v>184</v>
      </c>
      <c r="D93" t="s">
        <v>85</v>
      </c>
      <c r="E93" s="1" t="s">
        <v>86</v>
      </c>
      <c r="F93" s="1">
        <v>45964</v>
      </c>
      <c r="G93" t="s">
        <v>21</v>
      </c>
      <c r="H93" t="s">
        <v>22</v>
      </c>
      <c r="I93">
        <v>150</v>
      </c>
      <c r="J93" s="12">
        <v>182541.979998069</v>
      </c>
      <c r="K93">
        <f>VLOOKUP(A93,[1]Sheet1!$A:$B,2,0)</f>
        <v>0</v>
      </c>
      <c r="L93">
        <f>VLOOKUP(A93,[1]Sheet1!$A:$C,3,0)</f>
        <v>0</v>
      </c>
      <c r="M93">
        <f t="shared" si="4"/>
        <v>150</v>
      </c>
      <c r="N93" s="11">
        <f t="shared" si="5"/>
        <v>0</v>
      </c>
      <c r="O93" s="10" t="str">
        <f>VLOOKUP(A93,[1]Sheet1!$A:$E,5,0)</f>
        <v/>
      </c>
      <c r="P93" t="str">
        <f>VLOOKUP(A93,[1]Sheet1!$A:$F,6,0)</f>
        <v/>
      </c>
      <c r="Q93" t="str">
        <f>VLOOKUP(A93,[1]Sheet1!$A:$G,7,0)</f>
        <v/>
      </c>
    </row>
    <row r="94" spans="1:17" hidden="1" x14ac:dyDescent="0.35">
      <c r="A94" t="s">
        <v>189</v>
      </c>
      <c r="B94">
        <v>1135</v>
      </c>
      <c r="C94" t="s">
        <v>59</v>
      </c>
      <c r="D94" t="s">
        <v>25</v>
      </c>
      <c r="E94" s="1" t="s">
        <v>20</v>
      </c>
      <c r="F94" s="1">
        <v>45968</v>
      </c>
      <c r="G94" t="s">
        <v>21</v>
      </c>
      <c r="H94" t="s">
        <v>28</v>
      </c>
      <c r="I94">
        <v>60</v>
      </c>
      <c r="J94" s="12">
        <v>203874.65857068601</v>
      </c>
      <c r="K94">
        <f>VLOOKUP(A94,[1]Sheet1!$A:$B,2,0)</f>
        <v>0</v>
      </c>
      <c r="L94">
        <f>VLOOKUP(A94,[1]Sheet1!$A:$C,3,0)</f>
        <v>0</v>
      </c>
      <c r="M94">
        <f t="shared" si="4"/>
        <v>60</v>
      </c>
      <c r="N94" s="11">
        <f t="shared" si="5"/>
        <v>0</v>
      </c>
      <c r="O94" s="10" t="str">
        <f>VLOOKUP(A94,[1]Sheet1!$A:$E,5,0)</f>
        <v>08:14</v>
      </c>
      <c r="P94" t="str">
        <f>VLOOKUP(A94,[1]Sheet1!$A:$F,6,0)</f>
        <v>08:22</v>
      </c>
      <c r="Q94" t="str">
        <f>VLOOKUP(A94,[1]Sheet1!$A:$G,7,0)</f>
        <v>10:01</v>
      </c>
    </row>
    <row r="95" spans="1:17" hidden="1" x14ac:dyDescent="0.35">
      <c r="A95" t="s">
        <v>191</v>
      </c>
      <c r="B95">
        <v>1132</v>
      </c>
      <c r="C95" t="s">
        <v>192</v>
      </c>
      <c r="D95" t="s">
        <v>56</v>
      </c>
      <c r="E95" s="1" t="s">
        <v>32</v>
      </c>
      <c r="F95" s="1">
        <v>45964</v>
      </c>
      <c r="G95" t="s">
        <v>21</v>
      </c>
      <c r="H95" t="s">
        <v>22</v>
      </c>
      <c r="I95">
        <v>150</v>
      </c>
      <c r="J95" s="12">
        <v>206666.66666666701</v>
      </c>
      <c r="K95">
        <f>VLOOKUP(A95,[1]Sheet1!$A:$B,2,0)</f>
        <v>0</v>
      </c>
      <c r="L95">
        <f>VLOOKUP(A95,[1]Sheet1!$A:$C,3,0)</f>
        <v>0</v>
      </c>
      <c r="M95">
        <f t="shared" si="4"/>
        <v>150</v>
      </c>
      <c r="N95" s="11">
        <f t="shared" si="5"/>
        <v>0</v>
      </c>
      <c r="O95" s="10" t="str">
        <f>VLOOKUP(A95,[1]Sheet1!$A:$E,5,0)</f>
        <v>08:03</v>
      </c>
      <c r="P95" t="str">
        <f>VLOOKUP(A95,[1]Sheet1!$A:$F,6,0)</f>
        <v>08:25</v>
      </c>
      <c r="Q95" t="str">
        <f>VLOOKUP(A95,[1]Sheet1!$A:$G,7,0)</f>
        <v>10:05</v>
      </c>
    </row>
    <row r="96" spans="1:17" hidden="1" x14ac:dyDescent="0.35">
      <c r="A96" t="s">
        <v>194</v>
      </c>
      <c r="B96">
        <v>1140</v>
      </c>
      <c r="C96" t="s">
        <v>182</v>
      </c>
      <c r="D96" t="s">
        <v>36</v>
      </c>
      <c r="E96" s="1" t="s">
        <v>20</v>
      </c>
      <c r="F96" s="1">
        <v>45980</v>
      </c>
      <c r="G96" t="s">
        <v>21</v>
      </c>
      <c r="H96" t="s">
        <v>28</v>
      </c>
      <c r="I96">
        <v>60</v>
      </c>
      <c r="J96" s="12">
        <v>0</v>
      </c>
      <c r="K96">
        <f>VLOOKUP(A96,[1]Sheet1!$A:$B,2,0)</f>
        <v>0</v>
      </c>
      <c r="L96">
        <f>VLOOKUP(A96,[1]Sheet1!$A:$C,3,0)</f>
        <v>0</v>
      </c>
      <c r="M96">
        <f t="shared" si="4"/>
        <v>60</v>
      </c>
      <c r="N96" s="11" t="e">
        <f t="shared" si="5"/>
        <v>#DIV/0!</v>
      </c>
      <c r="O96" s="10" t="str">
        <f>VLOOKUP(A96,[1]Sheet1!$A:$E,5,0)</f>
        <v>07:55</v>
      </c>
      <c r="P96" t="str">
        <f>VLOOKUP(A96,[1]Sheet1!$A:$F,6,0)</f>
        <v>08:11</v>
      </c>
      <c r="Q96" t="str">
        <f>VLOOKUP(A96,[1]Sheet1!$A:$G,7,0)</f>
        <v>09:56</v>
      </c>
    </row>
    <row r="97" spans="1:17" hidden="1" x14ac:dyDescent="0.35">
      <c r="A97" t="s">
        <v>195</v>
      </c>
      <c r="B97">
        <v>1142</v>
      </c>
      <c r="C97" t="s">
        <v>196</v>
      </c>
      <c r="D97" t="s">
        <v>25</v>
      </c>
      <c r="E97" s="1" t="s">
        <v>20</v>
      </c>
      <c r="F97" s="1">
        <v>45982</v>
      </c>
      <c r="G97" t="s">
        <v>21</v>
      </c>
      <c r="H97" t="s">
        <v>28</v>
      </c>
      <c r="I97">
        <v>60</v>
      </c>
      <c r="J97" s="12">
        <v>0</v>
      </c>
      <c r="K97">
        <f>VLOOKUP(A97,[1]Sheet1!$A:$B,2,0)</f>
        <v>0</v>
      </c>
      <c r="L97">
        <f>VLOOKUP(A97,[1]Sheet1!$A:$C,3,0)</f>
        <v>0</v>
      </c>
      <c r="M97">
        <f t="shared" si="4"/>
        <v>60</v>
      </c>
      <c r="N97" s="11" t="e">
        <f t="shared" si="5"/>
        <v>#DIV/0!</v>
      </c>
      <c r="O97" s="10" t="str">
        <f>VLOOKUP(A97,[1]Sheet1!$A:$E,5,0)</f>
        <v>08:10</v>
      </c>
      <c r="P97" t="str">
        <f>VLOOKUP(A97,[1]Sheet1!$A:$F,6,0)</f>
        <v>08:15</v>
      </c>
      <c r="Q97" t="str">
        <f>VLOOKUP(A97,[1]Sheet1!$A:$G,7,0)</f>
        <v>10:00</v>
      </c>
    </row>
    <row r="98" spans="1:17" hidden="1" x14ac:dyDescent="0.35">
      <c r="A98" t="s">
        <v>197</v>
      </c>
      <c r="B98">
        <v>1143</v>
      </c>
      <c r="C98" t="s">
        <v>198</v>
      </c>
      <c r="D98" t="s">
        <v>25</v>
      </c>
      <c r="E98" t="s">
        <v>20</v>
      </c>
      <c r="F98" s="1">
        <v>45986</v>
      </c>
      <c r="G98" t="s">
        <v>21</v>
      </c>
      <c r="H98" t="s">
        <v>28</v>
      </c>
      <c r="I98">
        <v>60</v>
      </c>
      <c r="J98" s="12">
        <v>0</v>
      </c>
      <c r="K98">
        <f>VLOOKUP(A98,[1]Sheet1!$A:$B,2,0)</f>
        <v>0</v>
      </c>
      <c r="L98">
        <f>VLOOKUP(A98,[1]Sheet1!$A:$C,3,0)</f>
        <v>0</v>
      </c>
      <c r="M98">
        <f t="shared" si="4"/>
        <v>60</v>
      </c>
      <c r="N98" s="11" t="e">
        <f t="shared" si="5"/>
        <v>#DIV/0!</v>
      </c>
      <c r="O98" s="10" t="str">
        <f>VLOOKUP(A98,[1]Sheet1!$A:$E,5,0)</f>
        <v/>
      </c>
      <c r="P98" t="str">
        <f>VLOOKUP(A98,[1]Sheet1!$A:$F,6,0)</f>
        <v/>
      </c>
      <c r="Q98" t="str">
        <f>VLOOKUP(A98,[1]Sheet1!$A:$G,7,0)</f>
        <v/>
      </c>
    </row>
  </sheetData>
  <autoFilter ref="A1:Q98">
    <filterColumn colId="6">
      <filters>
        <filter val="VIRTUAL"/>
        <filter val="VIRTUAL DAY"/>
        <filter val="VIRTUAL(8am-5pm)"/>
      </filters>
    </filterColumn>
    <filterColumn colId="10">
      <filters>
        <filter val="0"/>
      </filters>
    </filterColumn>
    <sortState ref="A2:Q102">
      <sortCondition descending="1" ref="K1"/>
    </sortState>
  </autoFilter>
  <conditionalFormatting sqref="D6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ACMS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</dc:creator>
  <cp:keywords/>
  <dc:description/>
  <cp:lastModifiedBy>LENOVO P40</cp:lastModifiedBy>
  <cp:revision/>
  <dcterms:created xsi:type="dcterms:W3CDTF">2025-07-30T12:25:34Z</dcterms:created>
  <dcterms:modified xsi:type="dcterms:W3CDTF">2025-11-27T07:31:38Z</dcterms:modified>
  <cp:category/>
  <cp:contentStatus/>
</cp:coreProperties>
</file>