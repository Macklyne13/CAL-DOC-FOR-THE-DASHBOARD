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P40\Downloads\"/>
    </mc:Choice>
  </mc:AlternateContent>
  <bookViews>
    <workbookView xWindow="0" yWindow="0" windowWidth="25600" windowHeight="10620" activeTab="1"/>
  </bookViews>
  <sheets>
    <sheet name="VIRTUAL PRODUCTIVITY" sheetId="1" r:id="rId1"/>
    <sheet name="ZERO PTPs" sheetId="2" r:id="rId2"/>
  </sheets>
  <definedNames>
    <definedName name="_xlnm._FilterDatabase" localSheetId="0" hidden="1">'VIRTUAL PRODUCTIVITY'!$L$3:$L$83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1" i="1" l="1"/>
  <c r="R30" i="1"/>
  <c r="U30" i="1" s="1"/>
  <c r="R29" i="1"/>
  <c r="U29" i="1" s="1"/>
  <c r="S22" i="1"/>
  <c r="Y21" i="1"/>
  <c r="X21" i="1"/>
  <c r="W21" i="1"/>
  <c r="V21" i="1"/>
  <c r="T21" i="1" a="1"/>
  <c r="T21" i="1" s="1"/>
  <c r="U21" i="1" s="1"/>
  <c r="Y20" i="1"/>
  <c r="X20" i="1"/>
  <c r="W20" i="1"/>
  <c r="V20" i="1"/>
  <c r="T20" i="1" a="1"/>
  <c r="T20" i="1" s="1"/>
  <c r="U20" i="1" s="1"/>
  <c r="Y19" i="1"/>
  <c r="X19" i="1"/>
  <c r="W19" i="1"/>
  <c r="V19" i="1"/>
  <c r="T19" i="1"/>
  <c r="U19" i="1" s="1"/>
  <c r="Y18" i="1"/>
  <c r="X18" i="1"/>
  <c r="W18" i="1"/>
  <c r="V18" i="1"/>
  <c r="T18" i="1" a="1"/>
  <c r="T18" i="1" s="1"/>
  <c r="U18" i="1" s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S31" i="1" l="1"/>
  <c r="U31" i="1"/>
  <c r="T31" i="1"/>
  <c r="W22" i="1"/>
  <c r="V10" i="1"/>
  <c r="X22" i="1"/>
  <c r="S10" i="1"/>
  <c r="W10" i="1"/>
  <c r="T10" i="1"/>
  <c r="Y22" i="1"/>
  <c r="U10" i="1"/>
  <c r="V22" i="1"/>
  <c r="U22" i="1"/>
  <c r="S29" i="1"/>
  <c r="S30" i="1"/>
  <c r="T22" i="1"/>
  <c r="T29" i="1"/>
  <c r="T30" i="1"/>
</calcChain>
</file>

<file path=xl/sharedStrings.xml><?xml version="1.0" encoding="utf-8"?>
<sst xmlns="http://schemas.openxmlformats.org/spreadsheetml/2006/main" count="146" uniqueCount="87">
  <si>
    <t xml:space="preserve">                               PRODUCTIVITY REP0RT OCT 2025</t>
  </si>
  <si>
    <t>USER</t>
  </si>
  <si>
    <t>ACM ID</t>
  </si>
  <si>
    <t>Books Allocated</t>
  </si>
  <si>
    <t>team_name</t>
  </si>
  <si>
    <t>branch_name</t>
  </si>
  <si>
    <t>DATE CREATED</t>
  </si>
  <si>
    <t>SHIFT</t>
  </si>
  <si>
    <t>STATUS</t>
  </si>
  <si>
    <t xml:space="preserve"> PTP TARGET (VOLUME)</t>
  </si>
  <si>
    <t xml:space="preserve"> PTP Target      (VALUE)</t>
  </si>
  <si>
    <t>PTPs CREATED (VOLUME)</t>
  </si>
  <si>
    <t>PTP CREATED (VALUE)</t>
  </si>
  <si>
    <t>PTP DEFICIT (VOLUME)</t>
  </si>
  <si>
    <t>PTP% ACHIEVED</t>
  </si>
  <si>
    <t>LOGIN TIME</t>
  </si>
  <si>
    <t>1ST UPDATE TIME</t>
  </si>
  <si>
    <t>LAST UPDATE TIME</t>
  </si>
  <si>
    <t>TEAM REHEMA</t>
  </si>
  <si>
    <t>KISUMU BRANCH</t>
  </si>
  <si>
    <t>BRANCH SUMMARY</t>
  </si>
  <si>
    <t>TEAM MUGAMBI</t>
  </si>
  <si>
    <t>CAL HQ</t>
  </si>
  <si>
    <t>BRANCH</t>
  </si>
  <si>
    <t>ACMS ACTIVE</t>
  </si>
  <si>
    <t xml:space="preserve"> PTP Target (VALUE)</t>
  </si>
  <si>
    <t>PTPs CREATED (VALUE)</t>
  </si>
  <si>
    <t>TEAM MUTHONI</t>
  </si>
  <si>
    <t>TEAM SANTANA</t>
  </si>
  <si>
    <t>NAKURU BRANCH</t>
  </si>
  <si>
    <t>MERU BRANCH</t>
  </si>
  <si>
    <t>T0TAL</t>
  </si>
  <si>
    <t>TEAM SUMMARY</t>
  </si>
  <si>
    <t>TEAM LEADER</t>
  </si>
  <si>
    <t>T0TAL ACMS</t>
  </si>
  <si>
    <t>ACTIVE ACMS</t>
  </si>
  <si>
    <t>INACTIVE ACMS</t>
  </si>
  <si>
    <t>M0NTH PTP TARGET (CNV 25%)</t>
  </si>
  <si>
    <t>M0NTH PTP ACTUAL</t>
  </si>
  <si>
    <t>TOP PERFORMERS</t>
  </si>
  <si>
    <t>NAME</t>
  </si>
  <si>
    <t>TEAM</t>
  </si>
  <si>
    <t>DENNIS NDUNGA</t>
  </si>
  <si>
    <t>BAU/ZENKA</t>
  </si>
  <si>
    <t>VIRTUAL</t>
  </si>
  <si>
    <t>FINTECH</t>
  </si>
  <si>
    <t>JACOB OMONDI</t>
  </si>
  <si>
    <t>EQUITY DIGITAL</t>
  </si>
  <si>
    <t>VIRTUAL(8am-5pm)</t>
  </si>
  <si>
    <t>Fintech</t>
  </si>
  <si>
    <t>DOREEN KIMANI</t>
  </si>
  <si>
    <t>MSHWARI COHORT/ZENKA</t>
  </si>
  <si>
    <t>VIRTUAL DAY</t>
  </si>
  <si>
    <t>Karen Kajuju</t>
  </si>
  <si>
    <t>ZENKA/TIMIZA</t>
  </si>
  <si>
    <t>NANCY AWOUR</t>
  </si>
  <si>
    <t>KCB DIGITAL/ZENKA</t>
  </si>
  <si>
    <t>08:12</t>
  </si>
  <si>
    <t>08:13</t>
  </si>
  <si>
    <t>09:46</t>
  </si>
  <si>
    <t>CAROLINE MWANGI</t>
  </si>
  <si>
    <t xml:space="preserve">EQUITY CONVENTIONAL/KISUMU SPECIALIST HOSPITAL </t>
  </si>
  <si>
    <t>CONVENTIONAL</t>
  </si>
  <si>
    <t>07:31</t>
  </si>
  <si>
    <t>07:45</t>
  </si>
  <si>
    <t>09:52</t>
  </si>
  <si>
    <t>JOAN CHEPKOECH</t>
  </si>
  <si>
    <t>EQUITY DIGITAL/ZENKA</t>
  </si>
  <si>
    <t>08:01</t>
  </si>
  <si>
    <t>08:08</t>
  </si>
  <si>
    <t>10:05</t>
  </si>
  <si>
    <t>MARY WAMAITHA</t>
  </si>
  <si>
    <t>ASAPIRA HIRE PURCHASE/BAU</t>
  </si>
  <si>
    <t>08:15</t>
  </si>
  <si>
    <t>08:39</t>
  </si>
  <si>
    <t>BEATRICE NZISA</t>
  </si>
  <si>
    <t>08:14</t>
  </si>
  <si>
    <t>08:23</t>
  </si>
  <si>
    <t>10:04</t>
  </si>
  <si>
    <t>JUDY MULI</t>
  </si>
  <si>
    <t>08:10</t>
  </si>
  <si>
    <t>08:16</t>
  </si>
  <si>
    <t>10:02</t>
  </si>
  <si>
    <t>BENADETTE WANJIRU</t>
  </si>
  <si>
    <t>07:50</t>
  </si>
  <si>
    <t>08:33</t>
  </si>
  <si>
    <t>10:01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</si>
</sst>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F400]h:mm:ss\ AM/PM"/>
  </numFmts>
  <fonts count="24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3"/>
      <color theme="1"/>
      <name val="Antique Olive Compact"/>
      <family val="2"/>
    </font>
    <font>
      <sz val="11"/>
      <color indexed="8"/>
      <name val="Calibri"/>
      <family val="2"/>
      <scheme val="minor"/>
    </font>
    <font>
      <b/>
      <sz val="10"/>
      <color theme="1"/>
      <name val="Segoe UI Black"/>
      <family val="2"/>
    </font>
    <font>
      <b/>
      <sz val="11"/>
      <color theme="1"/>
      <name val="Segoe UI Black"/>
      <family val="2"/>
    </font>
    <font>
      <sz val="10"/>
      <color theme="1"/>
      <name val="Segoe UI Black"/>
      <family val="2"/>
    </font>
    <font>
      <b/>
      <sz val="9"/>
      <color theme="1"/>
      <name val="Cambria"/>
      <family val="1"/>
    </font>
    <font>
      <sz val="16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006100"/>
      <name val="Arial Black"/>
      <family val="2"/>
    </font>
    <font>
      <b/>
      <sz val="11"/>
      <color rgb="FF006100"/>
      <name val="Arial Black"/>
      <family val="2"/>
    </font>
    <font>
      <sz val="18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rgb="FF9C5700"/>
      <name val="Arial Black"/>
      <family val="2"/>
    </font>
    <font>
      <b/>
      <sz val="11"/>
      <color rgb="FF9C5700"/>
      <name val="Arial Black"/>
      <family val="2"/>
    </font>
    <font>
      <b/>
      <sz val="9"/>
      <color rgb="FF9C5700"/>
      <name val="Arial Black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4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94">
    <xf numFmtId="0" fontId="0" fillId="0" borderId="0" xfId="0"/>
    <xf numFmtId="0" fontId="2" fillId="0" borderId="4" xfId="6" applyBorder="1"/>
    <xf numFmtId="0" fontId="0" fillId="0" borderId="4" xfId="0" applyBorder="1"/>
    <xf numFmtId="0" fontId="7" fillId="6" borderId="5" xfId="6" applyFont="1" applyFill="1" applyBorder="1" applyAlignment="1">
      <alignment horizontal="center" vertical="center"/>
    </xf>
    <xf numFmtId="0" fontId="7" fillId="6" borderId="5" xfId="6" applyFont="1" applyFill="1" applyBorder="1" applyAlignment="1">
      <alignment horizontal="center" vertical="center" wrapText="1"/>
    </xf>
    <xf numFmtId="0" fontId="8" fillId="6" borderId="5" xfId="6" applyFont="1" applyFill="1" applyBorder="1" applyAlignment="1">
      <alignment horizontal="center" vertical="center" wrapText="1"/>
    </xf>
    <xf numFmtId="0" fontId="8" fillId="5" borderId="5" xfId="6" applyFont="1" applyFill="1" applyBorder="1" applyAlignment="1">
      <alignment horizontal="center" vertical="center" wrapText="1"/>
    </xf>
    <xf numFmtId="0" fontId="8" fillId="5" borderId="5" xfId="2" applyNumberFormat="1" applyFont="1" applyFill="1" applyBorder="1" applyAlignment="1">
      <alignment horizontal="center" vertical="center" wrapText="1"/>
    </xf>
    <xf numFmtId="0" fontId="7" fillId="5" borderId="5" xfId="2" applyNumberFormat="1" applyFont="1" applyFill="1" applyBorder="1" applyAlignment="1">
      <alignment horizontal="center" vertical="center" wrapText="1"/>
    </xf>
    <xf numFmtId="9" fontId="7" fillId="5" borderId="5" xfId="2" applyFont="1" applyFill="1" applyBorder="1" applyAlignment="1">
      <alignment horizontal="right" vertical="center" wrapText="1"/>
    </xf>
    <xf numFmtId="0" fontId="2" fillId="0" borderId="0" xfId="6"/>
    <xf numFmtId="0" fontId="9" fillId="0" borderId="0" xfId="6" applyFont="1" applyAlignment="1">
      <alignment horizontal="center" vertical="center"/>
    </xf>
    <xf numFmtId="0" fontId="10" fillId="7" borderId="5" xfId="6" applyFont="1" applyFill="1" applyBorder="1"/>
    <xf numFmtId="0" fontId="10" fillId="8" borderId="5" xfId="6" applyFont="1" applyFill="1" applyBorder="1"/>
    <xf numFmtId="0" fontId="10" fillId="9" borderId="5" xfId="6" applyFont="1" applyFill="1" applyBorder="1"/>
    <xf numFmtId="164" fontId="1" fillId="5" borderId="5" xfId="1" applyNumberFormat="1" applyFont="1" applyFill="1" applyBorder="1"/>
    <xf numFmtId="0" fontId="1" fillId="5" borderId="5" xfId="2" applyNumberFormat="1" applyFont="1" applyFill="1" applyBorder="1"/>
    <xf numFmtId="9" fontId="1" fillId="10" borderId="5" xfId="2" applyFont="1" applyFill="1" applyBorder="1" applyAlignment="1">
      <alignment horizontal="right"/>
    </xf>
    <xf numFmtId="0" fontId="1" fillId="10" borderId="5" xfId="2" applyNumberFormat="1" applyFont="1" applyFill="1" applyBorder="1"/>
    <xf numFmtId="0" fontId="1" fillId="10" borderId="1" xfId="2" applyNumberFormat="1" applyFont="1" applyFill="1" applyBorder="1"/>
    <xf numFmtId="9" fontId="11" fillId="0" borderId="0" xfId="3" applyNumberFormat="1" applyFont="1" applyFill="1" applyBorder="1" applyAlignment="1">
      <alignment horizontal="center" vertical="center"/>
    </xf>
    <xf numFmtId="164" fontId="12" fillId="0" borderId="0" xfId="1" applyNumberFormat="1" applyFont="1" applyFill="1" applyBorder="1" applyAlignment="1">
      <alignment horizontal="center" vertical="center"/>
    </xf>
    <xf numFmtId="0" fontId="12" fillId="0" borderId="0" xfId="1" applyNumberFormat="1" applyFont="1" applyFill="1" applyBorder="1" applyAlignment="1">
      <alignment horizontal="center" vertical="center"/>
    </xf>
    <xf numFmtId="164" fontId="3" fillId="11" borderId="5" xfId="1" applyNumberFormat="1" applyFont="1" applyFill="1" applyBorder="1" applyAlignment="1">
      <alignment vertical="center"/>
    </xf>
    <xf numFmtId="164" fontId="12" fillId="11" borderId="5" xfId="1" applyNumberFormat="1" applyFont="1" applyFill="1" applyBorder="1" applyAlignment="1">
      <alignment vertical="center"/>
    </xf>
    <xf numFmtId="164" fontId="12" fillId="11" borderId="5" xfId="1" applyNumberFormat="1" applyFont="1" applyFill="1" applyBorder="1" applyAlignment="1">
      <alignment horizontal="center" vertical="center"/>
    </xf>
    <xf numFmtId="0" fontId="12" fillId="11" borderId="5" xfId="1" applyNumberFormat="1" applyFont="1" applyFill="1" applyBorder="1" applyAlignment="1">
      <alignment horizontal="center" vertical="center"/>
    </xf>
    <xf numFmtId="164" fontId="13" fillId="11" borderId="5" xfId="1" applyNumberFormat="1" applyFont="1" applyFill="1" applyBorder="1" applyAlignment="1">
      <alignment vertical="center"/>
    </xf>
    <xf numFmtId="164" fontId="14" fillId="11" borderId="5" xfId="1" applyNumberFormat="1" applyFont="1" applyFill="1" applyBorder="1" applyAlignment="1">
      <alignment vertical="center"/>
    </xf>
    <xf numFmtId="164" fontId="1" fillId="0" borderId="0" xfId="1" applyNumberFormat="1" applyFont="1"/>
    <xf numFmtId="164" fontId="4" fillId="3" borderId="5" xfId="1" applyNumberFormat="1" applyFont="1" applyFill="1" applyBorder="1" applyAlignment="1">
      <alignment vertical="center"/>
    </xf>
    <xf numFmtId="164" fontId="16" fillId="3" borderId="5" xfId="1" applyNumberFormat="1" applyFont="1" applyFill="1" applyBorder="1" applyAlignment="1">
      <alignment vertical="center"/>
    </xf>
    <xf numFmtId="164" fontId="16" fillId="3" borderId="5" xfId="1" applyNumberFormat="1" applyFont="1" applyFill="1" applyBorder="1" applyAlignment="1">
      <alignment horizontal="center" vertical="center"/>
    </xf>
    <xf numFmtId="164" fontId="18" fillId="3" borderId="5" xfId="1" applyNumberFormat="1" applyFont="1" applyFill="1" applyBorder="1" applyAlignment="1">
      <alignment vertical="center"/>
    </xf>
    <xf numFmtId="164" fontId="19" fillId="3" borderId="5" xfId="1" applyNumberFormat="1" applyFont="1" applyFill="1" applyBorder="1" applyAlignment="1">
      <alignment vertical="center"/>
    </xf>
    <xf numFmtId="164" fontId="20" fillId="3" borderId="5" xfId="1" applyNumberFormat="1" applyFont="1" applyFill="1" applyBorder="1" applyAlignment="1">
      <alignment vertical="center"/>
    </xf>
    <xf numFmtId="164" fontId="19" fillId="3" borderId="5" xfId="1" applyNumberFormat="1" applyFont="1" applyFill="1" applyBorder="1" applyAlignment="1">
      <alignment horizontal="center" vertical="center"/>
    </xf>
    <xf numFmtId="0" fontId="1" fillId="0" borderId="0" xfId="6" applyFont="1"/>
    <xf numFmtId="164" fontId="2" fillId="0" borderId="0" xfId="6" applyNumberFormat="1"/>
    <xf numFmtId="0" fontId="23" fillId="2" borderId="5" xfId="3" applyFont="1" applyBorder="1"/>
    <xf numFmtId="0" fontId="3" fillId="2" borderId="5" xfId="3" applyBorder="1"/>
    <xf numFmtId="164" fontId="3" fillId="2" borderId="5" xfId="1" applyNumberFormat="1" applyFont="1" applyFill="1" applyBorder="1"/>
    <xf numFmtId="14" fontId="10" fillId="7" borderId="5" xfId="6" applyNumberFormat="1" applyFont="1" applyFill="1" applyBorder="1"/>
    <xf numFmtId="165" fontId="10" fillId="7" borderId="5" xfId="6" applyNumberFormat="1" applyFont="1" applyFill="1" applyBorder="1"/>
    <xf numFmtId="0" fontId="1" fillId="9" borderId="5" xfId="4" applyNumberFormat="1" applyFill="1" applyBorder="1"/>
    <xf numFmtId="166" fontId="1" fillId="10" borderId="5" xfId="2" applyNumberFormat="1" applyFont="1" applyFill="1" applyBorder="1"/>
    <xf numFmtId="0" fontId="10" fillId="7" borderId="13" xfId="6" applyFont="1" applyFill="1" applyBorder="1"/>
    <xf numFmtId="0" fontId="10" fillId="8" borderId="13" xfId="6" applyFont="1" applyFill="1" applyBorder="1"/>
    <xf numFmtId="14" fontId="10" fillId="7" borderId="13" xfId="6" applyNumberFormat="1" applyFont="1" applyFill="1" applyBorder="1"/>
    <xf numFmtId="165" fontId="10" fillId="7" borderId="13" xfId="6" applyNumberFormat="1" applyFont="1" applyFill="1" applyBorder="1"/>
    <xf numFmtId="0" fontId="1" fillId="9" borderId="13" xfId="4" applyNumberFormat="1" applyFill="1" applyBorder="1"/>
    <xf numFmtId="0" fontId="1" fillId="5" borderId="14" xfId="2" applyNumberFormat="1" applyFont="1" applyFill="1" applyBorder="1"/>
    <xf numFmtId="9" fontId="1" fillId="10" borderId="14" xfId="2" applyFont="1" applyFill="1" applyBorder="1" applyAlignment="1">
      <alignment horizontal="right"/>
    </xf>
    <xf numFmtId="166" fontId="1" fillId="10" borderId="14" xfId="2" applyNumberFormat="1" applyFont="1" applyFill="1" applyBorder="1"/>
    <xf numFmtId="0" fontId="1" fillId="5" borderId="15" xfId="2" applyNumberFormat="1" applyFont="1" applyFill="1" applyBorder="1"/>
    <xf numFmtId="9" fontId="1" fillId="10" borderId="15" xfId="2" applyFont="1" applyFill="1" applyBorder="1" applyAlignment="1">
      <alignment horizontal="right"/>
    </xf>
    <xf numFmtId="166" fontId="1" fillId="10" borderId="15" xfId="2" applyNumberFormat="1" applyFont="1" applyFill="1" applyBorder="1"/>
    <xf numFmtId="14" fontId="0" fillId="0" borderId="0" xfId="0" applyNumberFormat="1"/>
    <xf numFmtId="165" fontId="0" fillId="0" borderId="0" xfId="0" applyNumberFormat="1"/>
    <xf numFmtId="0" fontId="0" fillId="0" borderId="0" xfId="2" applyNumberFormat="1" applyFont="1"/>
    <xf numFmtId="9" fontId="0" fillId="0" borderId="0" xfId="2" applyFont="1" applyAlignment="1">
      <alignment horizontal="right"/>
    </xf>
    <xf numFmtId="166" fontId="0" fillId="0" borderId="0" xfId="2" applyNumberFormat="1" applyFont="1"/>
    <xf numFmtId="0" fontId="0" fillId="0" borderId="0" xfId="0" applyAlignment="1">
      <alignment horizontal="center"/>
    </xf>
    <xf numFmtId="0" fontId="16" fillId="3" borderId="5" xfId="1" applyNumberFormat="1" applyFont="1" applyFill="1" applyBorder="1" applyAlignment="1">
      <alignment vertical="center"/>
    </xf>
    <xf numFmtId="0" fontId="19" fillId="3" borderId="5" xfId="1" applyNumberFormat="1" applyFont="1" applyFill="1" applyBorder="1" applyAlignment="1">
      <alignment vertical="center"/>
    </xf>
    <xf numFmtId="0" fontId="5" fillId="5" borderId="1" xfId="5" applyNumberFormat="1" applyFont="1" applyFill="1" applyBorder="1" applyAlignment="1">
      <alignment horizontal="center" vertical="center"/>
    </xf>
    <xf numFmtId="0" fontId="5" fillId="5" borderId="2" xfId="5" applyNumberFormat="1" applyFont="1" applyFill="1" applyBorder="1" applyAlignment="1">
      <alignment horizontal="center" vertical="center"/>
    </xf>
    <xf numFmtId="0" fontId="5" fillId="5" borderId="3" xfId="5" applyNumberFormat="1" applyFont="1" applyFill="1" applyBorder="1" applyAlignment="1">
      <alignment horizontal="center" vertical="center"/>
    </xf>
    <xf numFmtId="9" fontId="11" fillId="11" borderId="5" xfId="3" applyNumberFormat="1" applyFont="1" applyFill="1" applyBorder="1" applyAlignment="1">
      <alignment horizontal="center" vertical="center"/>
    </xf>
    <xf numFmtId="164" fontId="3" fillId="11" borderId="5" xfId="1" applyNumberFormat="1" applyFont="1" applyFill="1" applyBorder="1" applyAlignment="1">
      <alignment horizontal="center" vertical="center"/>
    </xf>
    <xf numFmtId="164" fontId="3" fillId="11" borderId="5" xfId="1" applyNumberFormat="1" applyFont="1" applyFill="1" applyBorder="1" applyAlignment="1">
      <alignment horizontal="center" vertical="center" wrapText="1"/>
    </xf>
    <xf numFmtId="164" fontId="12" fillId="11" borderId="5" xfId="1" applyNumberFormat="1" applyFont="1" applyFill="1" applyBorder="1" applyAlignment="1">
      <alignment horizontal="center" vertical="center" wrapText="1"/>
    </xf>
    <xf numFmtId="164" fontId="15" fillId="3" borderId="6" xfId="1" applyNumberFormat="1" applyFont="1" applyFill="1" applyBorder="1" applyAlignment="1">
      <alignment horizontal="center" vertical="center"/>
    </xf>
    <xf numFmtId="164" fontId="15" fillId="3" borderId="7" xfId="1" applyNumberFormat="1" applyFont="1" applyFill="1" applyBorder="1" applyAlignment="1">
      <alignment horizontal="center" vertical="center"/>
    </xf>
    <xf numFmtId="164" fontId="15" fillId="3" borderId="8" xfId="1" applyNumberFormat="1" applyFont="1" applyFill="1" applyBorder="1" applyAlignment="1">
      <alignment horizontal="center" vertical="center"/>
    </xf>
    <xf numFmtId="164" fontId="15" fillId="3" borderId="9" xfId="1" applyNumberFormat="1" applyFont="1" applyFill="1" applyBorder="1" applyAlignment="1">
      <alignment horizontal="center" vertical="center"/>
    </xf>
    <xf numFmtId="164" fontId="15" fillId="3" borderId="10" xfId="1" applyNumberFormat="1" applyFont="1" applyFill="1" applyBorder="1" applyAlignment="1">
      <alignment horizontal="center" vertical="center"/>
    </xf>
    <xf numFmtId="164" fontId="15" fillId="3" borderId="11" xfId="1" applyNumberFormat="1" applyFont="1" applyFill="1" applyBorder="1" applyAlignment="1">
      <alignment horizontal="center" vertical="center"/>
    </xf>
    <xf numFmtId="164" fontId="16" fillId="3" borderId="5" xfId="1" applyNumberFormat="1" applyFont="1" applyFill="1" applyBorder="1" applyAlignment="1">
      <alignment horizontal="center" vertical="center"/>
    </xf>
    <xf numFmtId="164" fontId="16" fillId="3" borderId="5" xfId="1" applyNumberFormat="1" applyFont="1" applyFill="1" applyBorder="1" applyAlignment="1">
      <alignment horizontal="center" vertical="center" wrapText="1"/>
    </xf>
    <xf numFmtId="164" fontId="17" fillId="12" borderId="5" xfId="1" applyNumberFormat="1" applyFont="1" applyFill="1" applyBorder="1" applyAlignment="1">
      <alignment horizontal="center" vertical="center" wrapText="1"/>
    </xf>
    <xf numFmtId="0" fontId="16" fillId="3" borderId="5" xfId="1" applyNumberFormat="1" applyFont="1" applyFill="1" applyBorder="1" applyAlignment="1">
      <alignment horizontal="center" vertical="center" wrapText="1"/>
    </xf>
    <xf numFmtId="0" fontId="16" fillId="3" borderId="5" xfId="1" applyNumberFormat="1" applyFont="1" applyFill="1" applyBorder="1" applyAlignment="1">
      <alignment horizontal="center" vertical="center"/>
    </xf>
    <xf numFmtId="0" fontId="19" fillId="3" borderId="5" xfId="1" applyNumberFormat="1" applyFont="1" applyFill="1" applyBorder="1" applyAlignment="1">
      <alignment horizontal="center" vertical="center"/>
    </xf>
    <xf numFmtId="0" fontId="21" fillId="2" borderId="6" xfId="3" applyFont="1" applyBorder="1" applyAlignment="1">
      <alignment horizontal="center"/>
    </xf>
    <xf numFmtId="0" fontId="21" fillId="2" borderId="7" xfId="3" applyFont="1" applyBorder="1" applyAlignment="1">
      <alignment horizontal="center"/>
    </xf>
    <xf numFmtId="0" fontId="21" fillId="2" borderId="8" xfId="3" applyFont="1" applyBorder="1" applyAlignment="1">
      <alignment horizontal="center"/>
    </xf>
    <xf numFmtId="0" fontId="21" fillId="2" borderId="9" xfId="3" applyFont="1" applyBorder="1" applyAlignment="1">
      <alignment horizontal="center"/>
    </xf>
    <xf numFmtId="0" fontId="21" fillId="2" borderId="10" xfId="3" applyFont="1" applyBorder="1" applyAlignment="1">
      <alignment horizontal="center"/>
    </xf>
    <xf numFmtId="0" fontId="21" fillId="2" borderId="11" xfId="3" applyFont="1" applyBorder="1" applyAlignment="1">
      <alignment horizontal="center"/>
    </xf>
    <xf numFmtId="0" fontId="22" fillId="2" borderId="12" xfId="3" applyFont="1" applyBorder="1" applyAlignment="1">
      <alignment horizontal="center"/>
    </xf>
    <xf numFmtId="0" fontId="22" fillId="2" borderId="13" xfId="3" applyFont="1" applyBorder="1" applyAlignment="1">
      <alignment horizontal="center"/>
    </xf>
    <xf numFmtId="0" fontId="22" fillId="2" borderId="12" xfId="3" applyFont="1" applyBorder="1" applyAlignment="1">
      <alignment horizontal="center" wrapText="1"/>
    </xf>
    <xf numFmtId="0" fontId="22" fillId="2" borderId="13" xfId="3" applyFont="1" applyBorder="1" applyAlignment="1">
      <alignment horizontal="center" wrapText="1"/>
    </xf>
  </cellXfs>
  <cellStyles count="7">
    <cellStyle name="40% - Accent1" xfId="4" builtinId="31"/>
    <cellStyle name="Comma" xfId="1" builtinId="3"/>
    <cellStyle name="Comma 2" xfId="5"/>
    <cellStyle name="Good" xfId="3" builtinId="26"/>
    <cellStyle name="Normal" xfId="0" builtinId="0"/>
    <cellStyle name="Normal 2" xfId="6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9"/>
  <sheetViews>
    <sheetView zoomScale="86" zoomScaleNormal="86" workbookViewId="0">
      <selection activeCell="H30" sqref="H30"/>
    </sheetView>
  </sheetViews>
  <sheetFormatPr defaultRowHeight="15" customHeight="1"/>
  <cols>
    <col min="1" max="1" width="20.1796875" customWidth="1"/>
    <col min="2" max="2" width="18.81640625" customWidth="1"/>
    <col min="3" max="3" width="18.81640625" style="57" customWidth="1"/>
    <col min="4" max="4" width="18.81640625" customWidth="1"/>
    <col min="5" max="5" width="18.1796875" customWidth="1"/>
    <col min="6" max="6" width="18.1796875" style="58" customWidth="1"/>
    <col min="7" max="9" width="18.1796875" customWidth="1"/>
    <col min="10" max="10" width="19.1796875" customWidth="1"/>
    <col min="11" max="11" width="17.1796875" customWidth="1"/>
    <col min="12" max="13" width="17.1796875" style="59" customWidth="1"/>
    <col min="14" max="14" width="17.1796875" style="60" customWidth="1"/>
    <col min="15" max="17" width="17.1796875" style="61" customWidth="1"/>
    <col min="18" max="18" width="24.453125" bestFit="1" customWidth="1"/>
    <col min="19" max="19" width="16.54296875" customWidth="1"/>
    <col min="20" max="20" width="17.1796875" customWidth="1"/>
    <col min="21" max="21" width="15.54296875" bestFit="1" customWidth="1"/>
    <col min="22" max="22" width="14" customWidth="1"/>
    <col min="23" max="23" width="19.453125" customWidth="1"/>
    <col min="24" max="24" width="15" customWidth="1"/>
    <col min="25" max="25" width="15.54296875" customWidth="1"/>
    <col min="26" max="26" width="14.26953125" customWidth="1"/>
    <col min="27" max="27" width="16.1796875" customWidth="1"/>
    <col min="28" max="28" width="16" bestFit="1" customWidth="1"/>
  </cols>
  <sheetData>
    <row r="1" spans="1:28" s="2" customFormat="1" ht="16.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7"/>
      <c r="R1" s="1"/>
      <c r="S1" s="1"/>
      <c r="T1" s="1"/>
      <c r="U1" s="1"/>
      <c r="V1" s="1"/>
      <c r="W1" s="1"/>
      <c r="X1" s="1"/>
      <c r="Y1" s="1"/>
      <c r="Z1" s="1"/>
    </row>
    <row r="2" spans="1:28" ht="33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6" t="s">
        <v>11</v>
      </c>
      <c r="L2" s="7" t="s">
        <v>12</v>
      </c>
      <c r="M2" s="8" t="s">
        <v>13</v>
      </c>
      <c r="N2" s="9" t="s">
        <v>14</v>
      </c>
      <c r="O2" s="8" t="s">
        <v>15</v>
      </c>
      <c r="P2" s="8" t="s">
        <v>16</v>
      </c>
      <c r="Q2" s="8" t="s">
        <v>17</v>
      </c>
      <c r="R2" s="10"/>
      <c r="S2" s="10"/>
      <c r="T2" s="10"/>
      <c r="U2" s="10"/>
      <c r="V2" s="10"/>
      <c r="W2" s="10"/>
      <c r="X2" s="10"/>
      <c r="Y2" s="10"/>
      <c r="Z2" s="11"/>
    </row>
    <row r="3" spans="1:28" ht="15" customHeight="1">
      <c r="A3" s="12" t="s">
        <v>55</v>
      </c>
      <c r="B3" s="13">
        <v>1083</v>
      </c>
      <c r="C3" s="12" t="s">
        <v>56</v>
      </c>
      <c r="D3" s="12" t="s">
        <v>21</v>
      </c>
      <c r="E3" s="12" t="s">
        <v>22</v>
      </c>
      <c r="F3" s="42">
        <v>45393</v>
      </c>
      <c r="G3" s="13" t="s">
        <v>52</v>
      </c>
      <c r="H3" s="12" t="s">
        <v>49</v>
      </c>
      <c r="I3" s="12">
        <v>150</v>
      </c>
      <c r="J3" s="12">
        <v>147435.897435897</v>
      </c>
      <c r="K3" s="14">
        <v>4</v>
      </c>
      <c r="L3" s="15">
        <v>1556</v>
      </c>
      <c r="M3" s="16">
        <v>146</v>
      </c>
      <c r="N3" s="17">
        <v>1.0553739130434813E-2</v>
      </c>
      <c r="O3" s="18" t="s">
        <v>57</v>
      </c>
      <c r="P3" s="18" t="s">
        <v>58</v>
      </c>
      <c r="Q3" s="19" t="s">
        <v>59</v>
      </c>
      <c r="R3" s="68" t="s">
        <v>20</v>
      </c>
      <c r="S3" s="68"/>
      <c r="T3" s="68"/>
      <c r="U3" s="68"/>
      <c r="V3" s="68"/>
      <c r="W3" s="68"/>
      <c r="X3" s="20"/>
    </row>
    <row r="4" spans="1:28" ht="15" customHeight="1">
      <c r="A4" s="12" t="s">
        <v>60</v>
      </c>
      <c r="B4" s="13">
        <v>1072</v>
      </c>
      <c r="C4" s="12" t="s">
        <v>61</v>
      </c>
      <c r="D4" s="12" t="s">
        <v>18</v>
      </c>
      <c r="E4" s="12" t="s">
        <v>19</v>
      </c>
      <c r="F4" s="42">
        <v>45357</v>
      </c>
      <c r="G4" s="13" t="s">
        <v>44</v>
      </c>
      <c r="H4" s="12" t="s">
        <v>62</v>
      </c>
      <c r="I4" s="12">
        <v>60</v>
      </c>
      <c r="J4" s="12">
        <v>173333.33333333299</v>
      </c>
      <c r="K4" s="14">
        <v>3</v>
      </c>
      <c r="L4" s="15">
        <v>46500</v>
      </c>
      <c r="M4" s="16">
        <v>57</v>
      </c>
      <c r="N4" s="17">
        <v>0.26826923076923131</v>
      </c>
      <c r="O4" s="18" t="s">
        <v>63</v>
      </c>
      <c r="P4" s="18" t="s">
        <v>64</v>
      </c>
      <c r="Q4" s="19" t="s">
        <v>65</v>
      </c>
      <c r="R4" s="69" t="s">
        <v>23</v>
      </c>
      <c r="S4" s="70" t="s">
        <v>24</v>
      </c>
      <c r="T4" s="70" t="s">
        <v>25</v>
      </c>
      <c r="U4" s="71" t="s">
        <v>11</v>
      </c>
      <c r="V4" s="71" t="s">
        <v>26</v>
      </c>
      <c r="W4" s="71" t="s">
        <v>13</v>
      </c>
      <c r="X4" s="21"/>
      <c r="Y4" s="22"/>
    </row>
    <row r="5" spans="1:28" ht="15" customHeight="1">
      <c r="A5" s="12" t="s">
        <v>66</v>
      </c>
      <c r="B5" s="13">
        <v>1076</v>
      </c>
      <c r="C5" s="12" t="s">
        <v>67</v>
      </c>
      <c r="D5" s="12" t="s">
        <v>27</v>
      </c>
      <c r="E5" s="12" t="s">
        <v>19</v>
      </c>
      <c r="F5" s="42">
        <v>45057</v>
      </c>
      <c r="G5" s="13" t="s">
        <v>48</v>
      </c>
      <c r="H5" s="12" t="s">
        <v>49</v>
      </c>
      <c r="I5" s="12">
        <v>150</v>
      </c>
      <c r="J5" s="12">
        <v>219166.66666666701</v>
      </c>
      <c r="K5" s="14">
        <v>3</v>
      </c>
      <c r="L5" s="15">
        <v>13295</v>
      </c>
      <c r="M5" s="16">
        <v>147</v>
      </c>
      <c r="N5" s="17">
        <v>6.0661596958174809E-2</v>
      </c>
      <c r="O5" s="18" t="s">
        <v>68</v>
      </c>
      <c r="P5" s="18" t="s">
        <v>69</v>
      </c>
      <c r="Q5" s="19" t="s">
        <v>70</v>
      </c>
      <c r="R5" s="69"/>
      <c r="S5" s="70"/>
      <c r="T5" s="70"/>
      <c r="U5" s="71"/>
      <c r="V5" s="71"/>
      <c r="W5" s="71"/>
      <c r="X5" s="21"/>
      <c r="Y5" s="22"/>
    </row>
    <row r="6" spans="1:28" ht="15" customHeight="1">
      <c r="A6" s="12" t="s">
        <v>71</v>
      </c>
      <c r="B6" s="13">
        <v>1096</v>
      </c>
      <c r="C6" s="12" t="s">
        <v>72</v>
      </c>
      <c r="D6" s="12" t="s">
        <v>28</v>
      </c>
      <c r="E6" s="12" t="s">
        <v>22</v>
      </c>
      <c r="F6" s="42">
        <v>45840.490828657406</v>
      </c>
      <c r="G6" s="13" t="s">
        <v>44</v>
      </c>
      <c r="H6" s="12" t="s">
        <v>49</v>
      </c>
      <c r="I6" s="12">
        <v>150</v>
      </c>
      <c r="J6" s="12">
        <v>360000</v>
      </c>
      <c r="K6" s="14">
        <v>3</v>
      </c>
      <c r="L6" s="15">
        <v>53919</v>
      </c>
      <c r="M6" s="16">
        <v>147</v>
      </c>
      <c r="N6" s="17">
        <v>0.14977499999999999</v>
      </c>
      <c r="O6" s="18" t="s">
        <v>73</v>
      </c>
      <c r="P6" s="18" t="s">
        <v>74</v>
      </c>
      <c r="Q6" s="19" t="s">
        <v>65</v>
      </c>
      <c r="R6" s="23" t="s">
        <v>22</v>
      </c>
      <c r="S6" s="24">
        <f>COUNTIF(E3:E1048576,R6)</f>
        <v>5</v>
      </c>
      <c r="T6" s="24">
        <f>SUMIF(E3:E102,R6,J3:J1048576)</f>
        <v>984688.64468864305</v>
      </c>
      <c r="U6" s="24">
        <f>SUMIF(E3:E102,R6,K3:K1048576)</f>
        <v>10</v>
      </c>
      <c r="V6" s="25">
        <f>SUMIF(E3:E102,R6,L3:L1048576)</f>
        <v>58297</v>
      </c>
      <c r="W6" s="26">
        <f>SUMIF(E3:E102,R6,M3:M1048576)</f>
        <v>740</v>
      </c>
      <c r="X6" s="21"/>
      <c r="Y6" s="22"/>
    </row>
    <row r="7" spans="1:28" ht="15" customHeight="1">
      <c r="A7" s="12" t="s">
        <v>75</v>
      </c>
      <c r="B7" s="13">
        <v>1079</v>
      </c>
      <c r="C7" s="12" t="s">
        <v>43</v>
      </c>
      <c r="D7" s="12" t="s">
        <v>21</v>
      </c>
      <c r="E7" s="12" t="s">
        <v>22</v>
      </c>
      <c r="F7" s="42">
        <v>45170</v>
      </c>
      <c r="G7" s="13" t="s">
        <v>52</v>
      </c>
      <c r="H7" s="12" t="s">
        <v>49</v>
      </c>
      <c r="I7" s="12">
        <v>150</v>
      </c>
      <c r="J7" s="12">
        <v>147435.897435897</v>
      </c>
      <c r="K7" s="14">
        <v>1</v>
      </c>
      <c r="L7" s="15">
        <v>1216</v>
      </c>
      <c r="M7" s="16">
        <v>149</v>
      </c>
      <c r="N7" s="17">
        <v>8.2476521739130674E-3</v>
      </c>
      <c r="O7" s="18" t="s">
        <v>76</v>
      </c>
      <c r="P7" s="18" t="s">
        <v>77</v>
      </c>
      <c r="Q7" s="19" t="s">
        <v>78</v>
      </c>
      <c r="R7" s="23" t="s">
        <v>29</v>
      </c>
      <c r="S7" s="24">
        <f>COUNTIF(E3:E1048576,R7)</f>
        <v>0</v>
      </c>
      <c r="T7" s="24">
        <f>SUMIF(E3:E102,R7,J3:J1048576)</f>
        <v>0</v>
      </c>
      <c r="U7" s="24">
        <f>SUMIF(E3:E102,R7,K3:K1048576)</f>
        <v>0</v>
      </c>
      <c r="V7" s="25">
        <f>SUMIF(E3:E102,R7,L3:L1048576)</f>
        <v>0</v>
      </c>
      <c r="W7" s="26">
        <f>SUMIF(E3:E102,R7,M3:M1048576)</f>
        <v>0</v>
      </c>
      <c r="X7" s="21"/>
      <c r="Y7" s="22"/>
    </row>
    <row r="8" spans="1:28" ht="15" customHeight="1">
      <c r="A8" s="12" t="s">
        <v>79</v>
      </c>
      <c r="B8" s="13">
        <v>1080</v>
      </c>
      <c r="C8" s="12" t="s">
        <v>51</v>
      </c>
      <c r="D8" s="12" t="s">
        <v>21</v>
      </c>
      <c r="E8" s="12" t="s">
        <v>22</v>
      </c>
      <c r="F8" s="42">
        <v>45138</v>
      </c>
      <c r="G8" s="13" t="s">
        <v>52</v>
      </c>
      <c r="H8" s="12" t="s">
        <v>49</v>
      </c>
      <c r="I8" s="12">
        <v>150</v>
      </c>
      <c r="J8" s="12">
        <v>182380.95238095199</v>
      </c>
      <c r="K8" s="14">
        <v>1</v>
      </c>
      <c r="L8" s="15">
        <v>606</v>
      </c>
      <c r="M8" s="16">
        <v>149</v>
      </c>
      <c r="N8" s="17">
        <v>3.3227154046997459E-3</v>
      </c>
      <c r="O8" s="18" t="s">
        <v>80</v>
      </c>
      <c r="P8" s="18" t="s">
        <v>81</v>
      </c>
      <c r="Q8" s="19" t="s">
        <v>82</v>
      </c>
      <c r="R8" s="23" t="s">
        <v>30</v>
      </c>
      <c r="S8" s="24">
        <f>COUNTIF(E3:E1048576,R8)</f>
        <v>0</v>
      </c>
      <c r="T8" s="24">
        <f>SUMIF(E3:E102,R8,J3:J1048576)</f>
        <v>0</v>
      </c>
      <c r="U8" s="24">
        <f>SUMIF(E3:E102,R8,K3:K1048576)</f>
        <v>0</v>
      </c>
      <c r="V8" s="25">
        <f>SUMIF(E3:E102,R8,L3:L1048576)</f>
        <v>0</v>
      </c>
      <c r="W8" s="26">
        <f>SUMIF(E3:E102,R8,M3:M1048576)</f>
        <v>0</v>
      </c>
      <c r="X8" s="21"/>
      <c r="Y8" s="22"/>
    </row>
    <row r="9" spans="1:28" ht="14.5">
      <c r="A9" s="12" t="s">
        <v>83</v>
      </c>
      <c r="B9" s="13">
        <v>1082</v>
      </c>
      <c r="C9" s="12" t="s">
        <v>43</v>
      </c>
      <c r="D9" s="12" t="s">
        <v>21</v>
      </c>
      <c r="E9" s="12" t="s">
        <v>22</v>
      </c>
      <c r="F9" s="12">
        <v>45125</v>
      </c>
      <c r="G9" s="13" t="s">
        <v>52</v>
      </c>
      <c r="H9" s="12" t="s">
        <v>49</v>
      </c>
      <c r="I9" s="12">
        <v>150</v>
      </c>
      <c r="J9" s="12">
        <v>147435.897435897</v>
      </c>
      <c r="K9" s="14">
        <v>1</v>
      </c>
      <c r="L9" s="15">
        <v>1000</v>
      </c>
      <c r="M9" s="16">
        <v>149</v>
      </c>
      <c r="N9" s="17">
        <v>6.7826086956521937E-3</v>
      </c>
      <c r="O9" s="18" t="s">
        <v>84</v>
      </c>
      <c r="P9" s="18" t="s">
        <v>85</v>
      </c>
      <c r="Q9" s="19" t="s">
        <v>86</v>
      </c>
      <c r="R9" s="23" t="s">
        <v>19</v>
      </c>
      <c r="S9" s="24">
        <f>COUNTIF(E3:E1048576,R9)</f>
        <v>2</v>
      </c>
      <c r="T9" s="24">
        <f>SUMIF(E3:E102,R9,J3:J1048576)</f>
        <v>392500</v>
      </c>
      <c r="U9" s="24">
        <f>SUMIF(E3:E102,R9,K3:K1048576)</f>
        <v>6</v>
      </c>
      <c r="V9" s="25">
        <f>SUMIF(E3:E102,R9,L3:L1048576)</f>
        <v>59795</v>
      </c>
      <c r="W9" s="26">
        <f>SUMIF(E3:E102,R9,M3:M1048576)</f>
        <v>204</v>
      </c>
      <c r="X9" s="21"/>
      <c r="Y9" s="22"/>
    </row>
    <row r="10" spans="1:28" ht="15.75" customHeight="1">
      <c r="A10" s="12"/>
      <c r="B10" s="13"/>
      <c r="C10" s="12"/>
      <c r="D10" s="12"/>
      <c r="E10" s="12"/>
      <c r="F10" s="12"/>
      <c r="G10" s="13"/>
      <c r="H10" s="12"/>
      <c r="I10" s="12"/>
      <c r="J10" s="12"/>
      <c r="K10" s="14"/>
      <c r="L10" s="15"/>
      <c r="M10" s="16"/>
      <c r="N10" s="17"/>
      <c r="O10" s="18"/>
      <c r="P10" s="18"/>
      <c r="Q10" s="19"/>
      <c r="R10" s="27" t="s">
        <v>31</v>
      </c>
      <c r="S10" s="28">
        <f>SUM(S6:S9)</f>
        <v>7</v>
      </c>
      <c r="T10" s="28">
        <f>SUM(T6:T9)</f>
        <v>1377188.644688643</v>
      </c>
      <c r="U10" s="24">
        <f>SUM(U6:U9)</f>
        <v>16</v>
      </c>
      <c r="V10" s="25">
        <f>SUM(V6:V9)</f>
        <v>118092</v>
      </c>
      <c r="W10" s="26">
        <f>SUM(W6:W9)</f>
        <v>944</v>
      </c>
      <c r="X10" s="21"/>
      <c r="Y10" s="22"/>
    </row>
    <row r="11" spans="1:28" ht="14.5">
      <c r="A11" s="12"/>
      <c r="B11" s="13"/>
      <c r="C11" s="12"/>
      <c r="D11" s="12"/>
      <c r="E11" s="12"/>
      <c r="F11" s="12"/>
      <c r="G11" s="13"/>
      <c r="H11" s="12"/>
      <c r="I11" s="12"/>
      <c r="J11" s="12"/>
      <c r="K11" s="14"/>
      <c r="L11" s="15"/>
      <c r="M11" s="16"/>
      <c r="N11" s="17"/>
      <c r="O11" s="18"/>
      <c r="P11" s="18"/>
      <c r="Q11" s="18"/>
      <c r="R11" s="29"/>
      <c r="S11" s="29"/>
      <c r="T11" s="29"/>
      <c r="U11" s="29"/>
      <c r="V11" s="29"/>
      <c r="W11" s="29"/>
      <c r="X11" s="29"/>
      <c r="Y11" s="10"/>
    </row>
    <row r="12" spans="1:28" ht="14.5">
      <c r="A12" s="12"/>
      <c r="B12" s="13"/>
      <c r="C12" s="12"/>
      <c r="D12" s="12"/>
      <c r="E12" s="12"/>
      <c r="F12" s="12"/>
      <c r="G12" s="13"/>
      <c r="H12" s="12"/>
      <c r="I12" s="12"/>
      <c r="J12" s="12"/>
      <c r="K12" s="14"/>
      <c r="L12" s="15"/>
      <c r="M12" s="16"/>
      <c r="N12" s="17"/>
      <c r="O12" s="18"/>
      <c r="P12" s="18"/>
      <c r="Q12" s="18"/>
      <c r="R12" s="10"/>
      <c r="S12" s="10"/>
      <c r="T12" s="10"/>
      <c r="U12" s="10"/>
      <c r="V12" s="10"/>
      <c r="W12" s="10"/>
      <c r="X12" s="10"/>
      <c r="Y12" s="10"/>
      <c r="Z12" s="10"/>
    </row>
    <row r="13" spans="1:28" ht="15.75" customHeight="1">
      <c r="A13" s="12"/>
      <c r="B13" s="13"/>
      <c r="C13" s="12"/>
      <c r="D13" s="12"/>
      <c r="E13" s="12"/>
      <c r="F13" s="12"/>
      <c r="G13" s="13"/>
      <c r="H13" s="12"/>
      <c r="I13" s="12"/>
      <c r="J13" s="12"/>
      <c r="K13" s="14"/>
      <c r="L13" s="15"/>
      <c r="M13" s="16"/>
      <c r="N13" s="17"/>
      <c r="O13" s="18"/>
      <c r="P13" s="18"/>
      <c r="Q13" s="18"/>
      <c r="R13" s="10"/>
      <c r="S13" s="10"/>
      <c r="T13" s="10"/>
      <c r="U13" s="10"/>
      <c r="V13" s="10"/>
      <c r="W13" s="10"/>
      <c r="X13" s="10"/>
      <c r="Y13" s="10"/>
      <c r="Z13" s="10"/>
    </row>
    <row r="14" spans="1:28" ht="12.75" customHeight="1">
      <c r="A14" s="12"/>
      <c r="B14" s="13"/>
      <c r="C14" s="12"/>
      <c r="D14" s="12"/>
      <c r="E14" s="12"/>
      <c r="F14" s="12"/>
      <c r="G14" s="13"/>
      <c r="H14" s="12"/>
      <c r="I14" s="12"/>
      <c r="J14" s="12"/>
      <c r="K14" s="14"/>
      <c r="L14" s="15"/>
      <c r="M14" s="16"/>
      <c r="N14" s="17"/>
      <c r="O14" s="18"/>
      <c r="P14" s="18"/>
      <c r="Q14" s="18"/>
      <c r="R14" s="72" t="s">
        <v>32</v>
      </c>
      <c r="S14" s="73"/>
      <c r="T14" s="73"/>
      <c r="U14" s="73"/>
      <c r="V14" s="73"/>
      <c r="W14" s="73"/>
      <c r="X14" s="73"/>
      <c r="Y14" s="73"/>
      <c r="Z14" s="73"/>
      <c r="AA14" s="73"/>
      <c r="AB14" s="74"/>
    </row>
    <row r="15" spans="1:28" ht="15.75" customHeight="1">
      <c r="A15" s="12"/>
      <c r="B15" s="13"/>
      <c r="C15" s="12"/>
      <c r="D15" s="12"/>
      <c r="E15" s="12"/>
      <c r="F15" s="12"/>
      <c r="G15" s="13"/>
      <c r="H15" s="12"/>
      <c r="I15" s="12"/>
      <c r="J15" s="12"/>
      <c r="K15" s="14"/>
      <c r="L15" s="15"/>
      <c r="M15" s="16"/>
      <c r="N15" s="17"/>
      <c r="O15" s="18"/>
      <c r="P15" s="18"/>
      <c r="Q15" s="18"/>
      <c r="R15" s="75"/>
      <c r="S15" s="76"/>
      <c r="T15" s="76"/>
      <c r="U15" s="76"/>
      <c r="V15" s="76"/>
      <c r="W15" s="76"/>
      <c r="X15" s="76"/>
      <c r="Y15" s="76"/>
      <c r="Z15" s="76"/>
      <c r="AA15" s="76"/>
      <c r="AB15" s="77"/>
    </row>
    <row r="16" spans="1:28" ht="18" customHeight="1">
      <c r="A16" s="12"/>
      <c r="B16" s="13"/>
      <c r="C16" s="12"/>
      <c r="D16" s="12"/>
      <c r="E16" s="12"/>
      <c r="F16" s="12"/>
      <c r="G16" s="13"/>
      <c r="H16" s="12"/>
      <c r="I16" s="12"/>
      <c r="J16" s="12"/>
      <c r="K16" s="14"/>
      <c r="L16" s="15"/>
      <c r="M16" s="16"/>
      <c r="N16" s="17"/>
      <c r="O16" s="18"/>
      <c r="P16" s="18"/>
      <c r="Q16" s="18"/>
      <c r="R16" s="78" t="s">
        <v>33</v>
      </c>
      <c r="S16" s="78" t="s">
        <v>34</v>
      </c>
      <c r="T16" s="79" t="s">
        <v>35</v>
      </c>
      <c r="U16" s="79" t="s">
        <v>36</v>
      </c>
      <c r="V16" s="80" t="s">
        <v>25</v>
      </c>
      <c r="W16" s="80" t="s">
        <v>11</v>
      </c>
      <c r="X16" s="79" t="s">
        <v>26</v>
      </c>
      <c r="Y16" s="81" t="s">
        <v>13</v>
      </c>
      <c r="Z16" s="79" t="s">
        <v>37</v>
      </c>
      <c r="AA16" s="79"/>
      <c r="AB16" s="79" t="s">
        <v>38</v>
      </c>
    </row>
    <row r="17" spans="1:28" ht="19.149999999999999" customHeight="1">
      <c r="A17" s="12"/>
      <c r="B17" s="13"/>
      <c r="C17" s="12"/>
      <c r="D17" s="12"/>
      <c r="E17" s="12"/>
      <c r="F17" s="12"/>
      <c r="G17" s="13"/>
      <c r="H17" s="12"/>
      <c r="I17" s="12"/>
      <c r="J17" s="12"/>
      <c r="K17" s="14"/>
      <c r="L17" s="15"/>
      <c r="M17" s="16"/>
      <c r="N17" s="17"/>
      <c r="O17" s="18"/>
      <c r="P17" s="18"/>
      <c r="Q17" s="18"/>
      <c r="R17" s="78"/>
      <c r="S17" s="78"/>
      <c r="T17" s="79"/>
      <c r="U17" s="79"/>
      <c r="V17" s="80"/>
      <c r="W17" s="80"/>
      <c r="X17" s="79"/>
      <c r="Y17" s="81"/>
      <c r="Z17" s="79"/>
      <c r="AA17" s="79"/>
      <c r="AB17" s="79"/>
    </row>
    <row r="18" spans="1:28" ht="15.75" customHeight="1">
      <c r="A18" s="12"/>
      <c r="B18" s="13"/>
      <c r="C18" s="12"/>
      <c r="D18" s="12"/>
      <c r="E18" s="12"/>
      <c r="F18" s="12"/>
      <c r="G18" s="13"/>
      <c r="H18" s="12"/>
      <c r="I18" s="12"/>
      <c r="J18" s="12"/>
      <c r="K18" s="14"/>
      <c r="L18" s="15"/>
      <c r="M18" s="16"/>
      <c r="N18" s="17"/>
      <c r="O18" s="18"/>
      <c r="P18" s="18"/>
      <c r="Q18" s="18"/>
      <c r="R18" s="30" t="s">
        <v>28</v>
      </c>
      <c r="S18" s="30">
        <v>1</v>
      </c>
      <c r="T18" s="31">
        <f t="array" ref="T18">COUNTIF(D3:D1048576,R18)</f>
        <v>1</v>
      </c>
      <c r="U18" s="31">
        <f>S18-T18</f>
        <v>0</v>
      </c>
      <c r="V18" s="31">
        <f>SUMIF(D3:D102,R18,J3:J1048576)</f>
        <v>360000</v>
      </c>
      <c r="W18" s="31">
        <f>SUMIF(D3:D102,R18,K3:K1048576)</f>
        <v>3</v>
      </c>
      <c r="X18" s="31">
        <f>SUMIF(D3:D102,R18,L3:L1048576)</f>
        <v>53919</v>
      </c>
      <c r="Y18" s="63">
        <f>SUMIF(D3:D102,R18,M3:M1048576)</f>
        <v>147</v>
      </c>
      <c r="Z18" s="82"/>
      <c r="AA18" s="82"/>
      <c r="AB18" s="32"/>
    </row>
    <row r="19" spans="1:28" ht="15.75" customHeight="1">
      <c r="A19" s="12"/>
      <c r="B19" s="13"/>
      <c r="C19" s="12"/>
      <c r="D19" s="12"/>
      <c r="E19" s="12"/>
      <c r="F19" s="12"/>
      <c r="G19" s="13"/>
      <c r="H19" s="12"/>
      <c r="I19" s="12"/>
      <c r="J19" s="12"/>
      <c r="K19" s="14"/>
      <c r="L19" s="15"/>
      <c r="M19" s="16"/>
      <c r="N19" s="17"/>
      <c r="O19" s="18"/>
      <c r="P19" s="18"/>
      <c r="Q19" s="18"/>
      <c r="R19" s="30" t="s">
        <v>21</v>
      </c>
      <c r="S19" s="30">
        <v>6</v>
      </c>
      <c r="T19" s="31">
        <f>COUNTIF(D3:D1048576,R19)</f>
        <v>4</v>
      </c>
      <c r="U19" s="31">
        <f>S19-T19</f>
        <v>2</v>
      </c>
      <c r="V19" s="31">
        <f>SUMIF(D3:D102,R19,J3:J1048576)</f>
        <v>624688.64468864305</v>
      </c>
      <c r="W19" s="31">
        <f>SUMIF(D3:D102,R19,K3:K1048576)</f>
        <v>7</v>
      </c>
      <c r="X19" s="31">
        <f>SUMIF(D3:D102,R19,L3:L1048576)</f>
        <v>4378</v>
      </c>
      <c r="Y19" s="63">
        <f>SUMIF(D3:D102,R19,M3:M1048576)</f>
        <v>593</v>
      </c>
      <c r="Z19" s="82"/>
      <c r="AA19" s="82"/>
      <c r="AB19" s="32"/>
    </row>
    <row r="20" spans="1:28" ht="15.75" customHeight="1">
      <c r="A20" s="12"/>
      <c r="B20" s="13"/>
      <c r="C20" s="12"/>
      <c r="D20" s="12"/>
      <c r="E20" s="12"/>
      <c r="F20" s="12"/>
      <c r="G20" s="13"/>
      <c r="H20" s="12"/>
      <c r="I20" s="12"/>
      <c r="J20" s="12"/>
      <c r="K20" s="14"/>
      <c r="L20" s="15"/>
      <c r="M20" s="16"/>
      <c r="N20" s="17"/>
      <c r="O20" s="18"/>
      <c r="P20" s="18"/>
      <c r="Q20" s="18"/>
      <c r="R20" s="30" t="s">
        <v>27</v>
      </c>
      <c r="S20" s="30">
        <v>2</v>
      </c>
      <c r="T20" s="31">
        <f t="array" ref="T20">COUNTIF(D3:D1048576,R20)</f>
        <v>1</v>
      </c>
      <c r="U20" s="31">
        <f>S20-T20</f>
        <v>1</v>
      </c>
      <c r="V20" s="31">
        <f>SUMIF(D3:D102,R20,J3:J1048576)</f>
        <v>219166.66666666701</v>
      </c>
      <c r="W20" s="31">
        <f>SUMIF(D3:D102,R20,K3:K1048576)</f>
        <v>3</v>
      </c>
      <c r="X20" s="31">
        <f>SUMIF(D3:D102,R20,L3:L1048576)</f>
        <v>13295</v>
      </c>
      <c r="Y20" s="63">
        <f>SUMIF(D3:D102,R20,M3:M1048576)</f>
        <v>147</v>
      </c>
      <c r="Z20" s="82"/>
      <c r="AA20" s="82"/>
      <c r="AB20" s="32"/>
    </row>
    <row r="21" spans="1:28" ht="15.75" customHeight="1">
      <c r="A21" s="12"/>
      <c r="B21" s="13"/>
      <c r="C21" s="12"/>
      <c r="D21" s="12"/>
      <c r="E21" s="12"/>
      <c r="F21" s="12"/>
      <c r="G21" s="13"/>
      <c r="H21" s="12"/>
      <c r="I21" s="12"/>
      <c r="J21" s="12"/>
      <c r="K21" s="14"/>
      <c r="L21" s="15"/>
      <c r="M21" s="16"/>
      <c r="N21" s="17"/>
      <c r="O21" s="18"/>
      <c r="P21" s="18"/>
      <c r="Q21" s="18"/>
      <c r="R21" s="30" t="s">
        <v>18</v>
      </c>
      <c r="S21" s="30">
        <v>2</v>
      </c>
      <c r="T21" s="31">
        <f t="array" ref="T21">COUNTIF(D3:D1048576,R21)</f>
        <v>1</v>
      </c>
      <c r="U21" s="31">
        <f>S21-T21</f>
        <v>1</v>
      </c>
      <c r="V21" s="31">
        <f>SUMIF(D3:D102,R21,J3:J1048576)</f>
        <v>173333.33333333299</v>
      </c>
      <c r="W21" s="31">
        <f>SUMIF(D3:D102,R21,K3:K1048576)</f>
        <v>3</v>
      </c>
      <c r="X21" s="31">
        <f>SUMIF(D3:D102,R21,L3:L1048576)</f>
        <v>46500</v>
      </c>
      <c r="Y21" s="63">
        <f>SUMIF(D3:D102,R21,M3:M1048576)</f>
        <v>57</v>
      </c>
      <c r="Z21" s="82"/>
      <c r="AA21" s="82"/>
      <c r="AB21" s="32"/>
    </row>
    <row r="22" spans="1:28" ht="15" customHeight="1">
      <c r="A22" s="12"/>
      <c r="B22" s="13"/>
      <c r="C22" s="12"/>
      <c r="D22" s="12"/>
      <c r="E22" s="12"/>
      <c r="F22" s="12"/>
      <c r="G22" s="13"/>
      <c r="H22" s="12"/>
      <c r="I22" s="12"/>
      <c r="J22" s="12"/>
      <c r="K22" s="14"/>
      <c r="L22" s="15"/>
      <c r="M22" s="16"/>
      <c r="N22" s="17"/>
      <c r="O22" s="18"/>
      <c r="P22" s="18"/>
      <c r="Q22" s="18"/>
      <c r="R22" s="33" t="s">
        <v>31</v>
      </c>
      <c r="S22" s="30">
        <f t="shared" ref="S22:Y22" si="0">SUM(S18:S21)</f>
        <v>11</v>
      </c>
      <c r="T22" s="34">
        <f t="shared" si="0"/>
        <v>7</v>
      </c>
      <c r="U22" s="31">
        <f t="shared" si="0"/>
        <v>4</v>
      </c>
      <c r="V22" s="35">
        <f t="shared" si="0"/>
        <v>1377188.644688643</v>
      </c>
      <c r="W22" s="35">
        <f t="shared" si="0"/>
        <v>16</v>
      </c>
      <c r="X22" s="35">
        <f t="shared" si="0"/>
        <v>118092</v>
      </c>
      <c r="Y22" s="64">
        <f t="shared" si="0"/>
        <v>944</v>
      </c>
      <c r="Z22" s="83"/>
      <c r="AA22" s="83"/>
      <c r="AB22" s="36"/>
    </row>
    <row r="23" spans="1:28" ht="15" customHeight="1">
      <c r="A23" s="12"/>
      <c r="B23" s="13"/>
      <c r="C23" s="12"/>
      <c r="D23" s="12"/>
      <c r="E23" s="12"/>
      <c r="F23" s="12"/>
      <c r="G23" s="13"/>
      <c r="H23" s="12"/>
      <c r="I23" s="12"/>
      <c r="J23" s="12"/>
      <c r="K23" s="14"/>
      <c r="L23" s="15"/>
      <c r="M23" s="16"/>
      <c r="N23" s="17"/>
      <c r="O23" s="18"/>
      <c r="P23" s="18"/>
      <c r="Q23" s="18"/>
      <c r="R23" s="37"/>
      <c r="S23" s="38"/>
      <c r="T23" s="10"/>
      <c r="U23" s="10"/>
      <c r="V23" s="10"/>
      <c r="W23" s="10"/>
      <c r="X23" s="10"/>
      <c r="Y23" s="10"/>
      <c r="Z23" s="10"/>
      <c r="AA23" s="10"/>
    </row>
    <row r="24" spans="1:28" ht="15.75" customHeight="1">
      <c r="A24" s="12"/>
      <c r="B24" s="13"/>
      <c r="C24" s="12"/>
      <c r="D24" s="12"/>
      <c r="E24" s="12"/>
      <c r="F24" s="12"/>
      <c r="G24" s="13"/>
      <c r="H24" s="12"/>
      <c r="I24" s="12"/>
      <c r="J24" s="12"/>
      <c r="K24" s="14"/>
      <c r="L24" s="15"/>
      <c r="M24" s="16"/>
      <c r="N24" s="17"/>
      <c r="O24" s="18"/>
      <c r="P24" s="18"/>
      <c r="Q24" s="18"/>
      <c r="R24" s="37"/>
      <c r="S24" s="10"/>
      <c r="T24" s="10"/>
      <c r="U24" s="10"/>
      <c r="V24" s="10"/>
      <c r="W24" s="10"/>
      <c r="X24" s="10"/>
      <c r="Y24" s="10"/>
      <c r="Z24" s="10"/>
    </row>
    <row r="25" spans="1:28" ht="15.75" customHeight="1">
      <c r="A25" s="12"/>
      <c r="B25" s="13"/>
      <c r="C25" s="12"/>
      <c r="D25" s="12"/>
      <c r="E25" s="12"/>
      <c r="F25" s="12"/>
      <c r="G25" s="13"/>
      <c r="H25" s="12"/>
      <c r="I25" s="12"/>
      <c r="J25" s="12"/>
      <c r="K25" s="14"/>
      <c r="L25" s="15"/>
      <c r="M25" s="16"/>
      <c r="N25" s="17"/>
      <c r="O25" s="18"/>
      <c r="P25" s="18"/>
      <c r="Q25" s="18"/>
      <c r="R25" s="84" t="s">
        <v>39</v>
      </c>
      <c r="S25" s="85"/>
      <c r="T25" s="85"/>
      <c r="U25" s="86"/>
      <c r="V25" s="10"/>
    </row>
    <row r="26" spans="1:28" ht="14.5">
      <c r="A26" s="12"/>
      <c r="B26" s="13"/>
      <c r="C26" s="12"/>
      <c r="D26" s="12"/>
      <c r="E26" s="12"/>
      <c r="F26" s="12"/>
      <c r="G26" s="13"/>
      <c r="H26" s="12"/>
      <c r="I26" s="12"/>
      <c r="J26" s="12"/>
      <c r="K26" s="14"/>
      <c r="L26" s="15"/>
      <c r="M26" s="16"/>
      <c r="N26" s="17"/>
      <c r="O26" s="18"/>
      <c r="P26" s="18"/>
      <c r="Q26" s="18"/>
      <c r="R26" s="87"/>
      <c r="S26" s="88"/>
      <c r="T26" s="88"/>
      <c r="U26" s="89"/>
      <c r="V26" s="10"/>
    </row>
    <row r="27" spans="1:28" ht="14.5">
      <c r="A27" s="12"/>
      <c r="B27" s="13"/>
      <c r="C27" s="12"/>
      <c r="D27" s="12"/>
      <c r="E27" s="12"/>
      <c r="F27" s="12"/>
      <c r="G27" s="13"/>
      <c r="H27" s="12"/>
      <c r="I27" s="12"/>
      <c r="J27" s="12"/>
      <c r="K27" s="14"/>
      <c r="L27" s="15"/>
      <c r="M27" s="16"/>
      <c r="N27" s="17"/>
      <c r="O27" s="18"/>
      <c r="P27" s="18"/>
      <c r="Q27" s="18"/>
      <c r="R27" s="90" t="s">
        <v>40</v>
      </c>
      <c r="S27" s="90" t="s">
        <v>41</v>
      </c>
      <c r="T27" s="90" t="s">
        <v>23</v>
      </c>
      <c r="U27" s="92" t="s">
        <v>26</v>
      </c>
      <c r="V27" s="10"/>
    </row>
    <row r="28" spans="1:28" ht="14.5">
      <c r="A28" s="12"/>
      <c r="B28" s="13"/>
      <c r="C28" s="12"/>
      <c r="D28" s="12"/>
      <c r="E28" s="12"/>
      <c r="F28" s="12"/>
      <c r="G28" s="13"/>
      <c r="H28" s="12"/>
      <c r="I28" s="12"/>
      <c r="J28" s="12"/>
      <c r="K28" s="14"/>
      <c r="L28" s="15"/>
      <c r="M28" s="16"/>
      <c r="N28" s="17"/>
      <c r="O28" s="18"/>
      <c r="P28" s="18"/>
      <c r="Q28" s="18"/>
      <c r="R28" s="91"/>
      <c r="S28" s="91"/>
      <c r="T28" s="91"/>
      <c r="U28" s="93"/>
      <c r="V28" s="10"/>
    </row>
    <row r="29" spans="1:28" ht="15.5">
      <c r="A29" s="12"/>
      <c r="B29" s="13"/>
      <c r="C29" s="12"/>
      <c r="D29" s="12"/>
      <c r="E29" s="12"/>
      <c r="F29" s="12"/>
      <c r="G29" s="13"/>
      <c r="H29" s="12"/>
      <c r="I29" s="12"/>
      <c r="J29" s="12"/>
      <c r="K29" s="14"/>
      <c r="L29" s="15"/>
      <c r="M29" s="16"/>
      <c r="N29" s="17"/>
      <c r="O29" s="18"/>
      <c r="P29" s="18"/>
      <c r="Q29" s="18"/>
      <c r="R29" s="39" t="str">
        <f>INDEX($A$3:$A$102,MATCH(LARGE($L$3:$L$1048576,1),$L$3:$L$1048576,0))</f>
        <v>MARY WAMAITHA</v>
      </c>
      <c r="S29" s="40" t="str">
        <f>VLOOKUP(R29,A2:D102,4,0)</f>
        <v>TEAM SANTANA</v>
      </c>
      <c r="T29" s="40" t="str">
        <f>VLOOKUP(R29,A2:E102,5,0)</f>
        <v>CAL HQ</v>
      </c>
      <c r="U29" s="41">
        <f>VLOOKUP(R29,A2:L102,12,0)</f>
        <v>53919</v>
      </c>
      <c r="V29" s="10"/>
    </row>
    <row r="30" spans="1:28" ht="15.5">
      <c r="A30" s="12"/>
      <c r="B30" s="13"/>
      <c r="C30" s="12"/>
      <c r="D30" s="12"/>
      <c r="E30" s="12"/>
      <c r="F30" s="12"/>
      <c r="G30" s="13"/>
      <c r="H30" s="12"/>
      <c r="I30" s="12"/>
      <c r="J30" s="12"/>
      <c r="K30" s="14"/>
      <c r="L30" s="15"/>
      <c r="M30" s="16"/>
      <c r="N30" s="17"/>
      <c r="O30" s="18"/>
      <c r="P30" s="18"/>
      <c r="Q30" s="18"/>
      <c r="R30" s="39" t="str">
        <f>INDEX($A$3:$A$102,MATCH(LARGE($L$3:$L$1048576,2),$L$3:$L$1048576,0))</f>
        <v>CAROLINE MWANGI</v>
      </c>
      <c r="S30" s="40" t="str">
        <f>VLOOKUP(R30,A3:D103,4,0)</f>
        <v>TEAM REHEMA</v>
      </c>
      <c r="T30" s="40" t="str">
        <f>VLOOKUP(R30,A3:E103,5,0)</f>
        <v>KISUMU BRANCH</v>
      </c>
      <c r="U30" s="41">
        <f>VLOOKUP(R30,A3:L103,12,0)</f>
        <v>46500</v>
      </c>
      <c r="V30" s="10"/>
    </row>
    <row r="31" spans="1:28" ht="15.5">
      <c r="A31" s="12"/>
      <c r="B31" s="13"/>
      <c r="C31" s="12"/>
      <c r="D31" s="12"/>
      <c r="E31" s="12"/>
      <c r="F31" s="12"/>
      <c r="G31" s="13"/>
      <c r="H31" s="12"/>
      <c r="I31" s="12"/>
      <c r="J31" s="12"/>
      <c r="K31" s="14"/>
      <c r="L31" s="15"/>
      <c r="M31" s="16"/>
      <c r="N31" s="17"/>
      <c r="O31" s="18"/>
      <c r="P31" s="18"/>
      <c r="Q31" s="18"/>
      <c r="R31" s="39" t="str">
        <f>INDEX($A$3:$A$102,MATCH(LARGE($L$3:$L$1048576,3),$L$3:$L$1048576,0))</f>
        <v>JOAN CHEPKOECH</v>
      </c>
      <c r="S31" s="40" t="str">
        <f>VLOOKUP(R31,A2:D10,4,0)</f>
        <v>TEAM MUTHONI</v>
      </c>
      <c r="T31" s="40" t="str">
        <f>VLOOKUP(R31,A2:E11,5,0)</f>
        <v>KISUMU BRANCH</v>
      </c>
      <c r="U31" s="41">
        <f>VLOOKUP(R31,A2:L11,12,0)</f>
        <v>13295</v>
      </c>
      <c r="V31" s="10"/>
    </row>
    <row r="32" spans="1:28" ht="14.5">
      <c r="A32" s="12"/>
      <c r="B32" s="13"/>
      <c r="C32" s="12"/>
      <c r="D32" s="12"/>
      <c r="E32" s="12"/>
      <c r="F32" s="12"/>
      <c r="G32" s="13"/>
      <c r="H32" s="12"/>
      <c r="I32" s="12"/>
      <c r="J32" s="12"/>
      <c r="K32" s="14"/>
      <c r="L32" s="15"/>
      <c r="M32" s="16"/>
      <c r="N32" s="17"/>
      <c r="O32" s="18"/>
      <c r="P32" s="18"/>
      <c r="Q32" s="18"/>
      <c r="R32" s="10"/>
      <c r="S32" s="10"/>
      <c r="T32" s="10"/>
      <c r="U32" s="10"/>
      <c r="V32" s="10"/>
    </row>
    <row r="33" spans="1:26" ht="14.5">
      <c r="A33" s="12"/>
      <c r="B33" s="13"/>
      <c r="C33" s="12"/>
      <c r="D33" s="12"/>
      <c r="E33" s="12"/>
      <c r="F33" s="12"/>
      <c r="G33" s="13"/>
      <c r="H33" s="12"/>
      <c r="I33" s="12"/>
      <c r="J33" s="12"/>
      <c r="K33" s="14"/>
      <c r="L33" s="15"/>
      <c r="M33" s="16"/>
      <c r="N33" s="17"/>
      <c r="O33" s="18"/>
      <c r="P33" s="18"/>
      <c r="Q33" s="18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5">
      <c r="A34" s="12"/>
      <c r="B34" s="13"/>
      <c r="C34" s="12"/>
      <c r="D34" s="12"/>
      <c r="E34" s="12"/>
      <c r="F34" s="12"/>
      <c r="G34" s="13"/>
      <c r="H34" s="12"/>
      <c r="I34" s="12"/>
      <c r="J34" s="12"/>
      <c r="K34" s="14"/>
      <c r="L34" s="15"/>
      <c r="M34" s="16"/>
      <c r="N34" s="17"/>
      <c r="O34" s="18"/>
      <c r="P34" s="18"/>
      <c r="Q34" s="18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5">
      <c r="A35" s="12"/>
      <c r="B35" s="13"/>
      <c r="C35" s="12"/>
      <c r="D35" s="12"/>
      <c r="E35" s="12"/>
      <c r="F35" s="12"/>
      <c r="G35" s="13"/>
      <c r="H35" s="12"/>
      <c r="I35" s="12"/>
      <c r="J35" s="12"/>
      <c r="K35" s="14"/>
      <c r="L35" s="15"/>
      <c r="M35" s="16"/>
      <c r="N35" s="17"/>
      <c r="O35" s="18"/>
      <c r="P35" s="18"/>
      <c r="Q35" s="18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5">
      <c r="A36" s="12"/>
      <c r="B36" s="13"/>
      <c r="C36" s="12"/>
      <c r="D36" s="12"/>
      <c r="E36" s="12"/>
      <c r="F36" s="12"/>
      <c r="G36" s="13"/>
      <c r="H36" s="12"/>
      <c r="I36" s="12"/>
      <c r="J36" s="12"/>
      <c r="K36" s="14"/>
      <c r="L36" s="15"/>
      <c r="M36" s="16"/>
      <c r="N36" s="17"/>
      <c r="O36" s="18"/>
      <c r="P36" s="18"/>
      <c r="Q36" s="18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5">
      <c r="A37" s="12"/>
      <c r="B37" s="13"/>
      <c r="C37" s="12"/>
      <c r="D37" s="12"/>
      <c r="E37" s="12"/>
      <c r="F37" s="12"/>
      <c r="G37" s="13"/>
      <c r="H37" s="12"/>
      <c r="I37" s="12"/>
      <c r="J37" s="12"/>
      <c r="K37" s="14"/>
      <c r="L37" s="15"/>
      <c r="M37" s="16"/>
      <c r="N37" s="17"/>
      <c r="O37" s="18"/>
      <c r="P37" s="18"/>
      <c r="Q37" s="18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5">
      <c r="A38" s="12"/>
      <c r="B38" s="13"/>
      <c r="C38" s="12"/>
      <c r="D38" s="12"/>
      <c r="E38" s="12"/>
      <c r="F38" s="12"/>
      <c r="G38" s="13"/>
      <c r="H38" s="12"/>
      <c r="I38" s="12"/>
      <c r="J38" s="12"/>
      <c r="K38" s="14"/>
      <c r="L38" s="15"/>
      <c r="M38" s="16"/>
      <c r="N38" s="17"/>
      <c r="O38" s="18"/>
      <c r="P38" s="18"/>
      <c r="Q38" s="18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5">
      <c r="A39" s="12"/>
      <c r="B39" s="13"/>
      <c r="C39" s="12"/>
      <c r="D39" s="12"/>
      <c r="E39" s="12"/>
      <c r="F39" s="12"/>
      <c r="G39" s="13"/>
      <c r="H39" s="12"/>
      <c r="I39" s="12"/>
      <c r="J39" s="12"/>
      <c r="K39" s="14"/>
      <c r="L39" s="15"/>
      <c r="M39" s="16"/>
      <c r="N39" s="17"/>
      <c r="O39" s="18"/>
      <c r="P39" s="18"/>
      <c r="Q39" s="18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5">
      <c r="A40" s="12"/>
      <c r="B40" s="13"/>
      <c r="C40" s="12"/>
      <c r="D40" s="12"/>
      <c r="E40" s="12"/>
      <c r="F40" s="12"/>
      <c r="G40" s="13"/>
      <c r="H40" s="12"/>
      <c r="I40" s="12"/>
      <c r="J40" s="12"/>
      <c r="K40" s="14"/>
      <c r="L40" s="15"/>
      <c r="M40" s="16"/>
      <c r="N40" s="17"/>
      <c r="O40" s="18"/>
      <c r="P40" s="18"/>
      <c r="Q40" s="18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5">
      <c r="A41" s="12"/>
      <c r="B41" s="13"/>
      <c r="C41" s="12"/>
      <c r="D41" s="12"/>
      <c r="E41" s="12"/>
      <c r="F41" s="12"/>
      <c r="G41" s="13"/>
      <c r="H41" s="12"/>
      <c r="I41" s="12"/>
      <c r="J41" s="12"/>
      <c r="K41" s="14"/>
      <c r="L41" s="15"/>
      <c r="M41" s="16"/>
      <c r="N41" s="17"/>
      <c r="O41" s="18"/>
      <c r="P41" s="18"/>
      <c r="Q41" s="18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5">
      <c r="A42" s="12"/>
      <c r="B42" s="13"/>
      <c r="C42" s="12"/>
      <c r="D42" s="12"/>
      <c r="E42" s="12"/>
      <c r="F42" s="12"/>
      <c r="G42" s="13"/>
      <c r="H42" s="12"/>
      <c r="I42" s="12"/>
      <c r="J42" s="12"/>
      <c r="K42" s="14"/>
      <c r="L42" s="15"/>
      <c r="M42" s="16"/>
      <c r="N42" s="17"/>
      <c r="O42" s="18"/>
      <c r="P42" s="18"/>
      <c r="Q42" s="18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5">
      <c r="A43" s="12"/>
      <c r="B43" s="13"/>
      <c r="C43" s="12"/>
      <c r="D43" s="12"/>
      <c r="E43" s="12"/>
      <c r="F43" s="12"/>
      <c r="G43" s="13"/>
      <c r="H43" s="12"/>
      <c r="I43" s="12"/>
      <c r="J43" s="12"/>
      <c r="K43" s="14"/>
      <c r="L43" s="15"/>
      <c r="M43" s="16"/>
      <c r="N43" s="17"/>
      <c r="O43" s="18"/>
      <c r="P43" s="18"/>
      <c r="Q43" s="18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5">
      <c r="A44" s="12"/>
      <c r="B44" s="13"/>
      <c r="C44" s="12"/>
      <c r="D44" s="12"/>
      <c r="E44" s="12"/>
      <c r="F44" s="12"/>
      <c r="G44" s="13"/>
      <c r="H44" s="12"/>
      <c r="I44" s="12"/>
      <c r="J44" s="12"/>
      <c r="K44" s="14"/>
      <c r="L44" s="15"/>
      <c r="M44" s="16"/>
      <c r="N44" s="17"/>
      <c r="O44" s="18"/>
      <c r="P44" s="18"/>
      <c r="Q44" s="18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5">
      <c r="A45" s="12"/>
      <c r="B45" s="13"/>
      <c r="C45" s="12"/>
      <c r="D45" s="12"/>
      <c r="E45" s="12"/>
      <c r="F45" s="12"/>
      <c r="G45" s="13"/>
      <c r="H45" s="12"/>
      <c r="I45" s="12"/>
      <c r="J45" s="12"/>
      <c r="K45" s="14"/>
      <c r="L45" s="15"/>
      <c r="M45" s="16"/>
      <c r="N45" s="17"/>
      <c r="O45" s="18"/>
      <c r="P45" s="18"/>
      <c r="Q45" s="18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5">
      <c r="A46" s="12"/>
      <c r="B46" s="13"/>
      <c r="C46" s="12"/>
      <c r="D46" s="12"/>
      <c r="E46" s="12"/>
      <c r="F46" s="12"/>
      <c r="G46" s="13"/>
      <c r="H46" s="12"/>
      <c r="I46" s="12"/>
      <c r="J46" s="12"/>
      <c r="K46" s="14"/>
      <c r="L46" s="15"/>
      <c r="M46" s="16"/>
      <c r="N46" s="17"/>
      <c r="O46" s="18"/>
      <c r="P46" s="18"/>
      <c r="Q46" s="18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5">
      <c r="A47" s="12"/>
      <c r="B47" s="13"/>
      <c r="C47" s="12"/>
      <c r="D47" s="12"/>
      <c r="E47" s="12"/>
      <c r="F47" s="12"/>
      <c r="G47" s="13"/>
      <c r="H47" s="12"/>
      <c r="I47" s="12"/>
      <c r="J47" s="12"/>
      <c r="K47" s="14"/>
      <c r="L47" s="15"/>
      <c r="M47" s="16"/>
      <c r="N47" s="17"/>
      <c r="O47" s="18"/>
      <c r="P47" s="18"/>
      <c r="Q47" s="18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5">
      <c r="A48" s="12"/>
      <c r="B48" s="13"/>
      <c r="C48" s="12"/>
      <c r="D48" s="12"/>
      <c r="E48" s="12"/>
      <c r="F48" s="12"/>
      <c r="G48" s="13"/>
      <c r="H48" s="12"/>
      <c r="I48" s="12"/>
      <c r="J48" s="12"/>
      <c r="K48" s="14"/>
      <c r="L48" s="15"/>
      <c r="M48" s="16"/>
      <c r="N48" s="17"/>
      <c r="O48" s="18"/>
      <c r="P48" s="18"/>
      <c r="Q48" s="18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5">
      <c r="A49" s="12"/>
      <c r="B49" s="13"/>
      <c r="C49" s="12"/>
      <c r="D49" s="12"/>
      <c r="E49" s="12"/>
      <c r="F49" s="12"/>
      <c r="G49" s="13"/>
      <c r="H49" s="12"/>
      <c r="I49" s="12"/>
      <c r="J49" s="12"/>
      <c r="K49" s="14"/>
      <c r="L49" s="15"/>
      <c r="M49" s="16"/>
      <c r="N49" s="17"/>
      <c r="O49" s="18"/>
      <c r="P49" s="18"/>
      <c r="Q49" s="18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5">
      <c r="A50" s="12"/>
      <c r="B50" s="13"/>
      <c r="C50" s="12"/>
      <c r="D50" s="12"/>
      <c r="E50" s="12"/>
      <c r="F50" s="12"/>
      <c r="G50" s="13"/>
      <c r="H50" s="12"/>
      <c r="I50" s="12"/>
      <c r="J50" s="12"/>
      <c r="K50" s="14"/>
      <c r="L50" s="15"/>
      <c r="M50" s="16"/>
      <c r="N50" s="17"/>
      <c r="O50" s="18"/>
      <c r="P50" s="18"/>
      <c r="Q50" s="18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5">
      <c r="A51" s="12"/>
      <c r="B51" s="13"/>
      <c r="C51" s="12"/>
      <c r="D51" s="12"/>
      <c r="E51" s="12"/>
      <c r="F51" s="12"/>
      <c r="G51" s="13"/>
      <c r="H51" s="12"/>
      <c r="I51" s="12"/>
      <c r="J51" s="12"/>
      <c r="K51" s="14"/>
      <c r="L51" s="15"/>
      <c r="M51" s="16"/>
      <c r="N51" s="17"/>
      <c r="O51" s="18"/>
      <c r="P51" s="18"/>
      <c r="Q51" s="18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5">
      <c r="A52" s="12"/>
      <c r="B52" s="13"/>
      <c r="C52" s="12"/>
      <c r="D52" s="12"/>
      <c r="E52" s="12"/>
      <c r="F52" s="12"/>
      <c r="G52" s="13"/>
      <c r="H52" s="12"/>
      <c r="I52" s="12"/>
      <c r="J52" s="12"/>
      <c r="K52" s="14"/>
      <c r="L52" s="15"/>
      <c r="M52" s="16"/>
      <c r="N52" s="17"/>
      <c r="O52" s="18"/>
      <c r="P52" s="18"/>
      <c r="Q52" s="18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5">
      <c r="A53" s="12"/>
      <c r="B53" s="13"/>
      <c r="C53" s="12"/>
      <c r="D53" s="12"/>
      <c r="E53" s="12"/>
      <c r="F53" s="12"/>
      <c r="G53" s="13"/>
      <c r="H53" s="12"/>
      <c r="I53" s="12"/>
      <c r="J53" s="12"/>
      <c r="K53" s="14"/>
      <c r="L53" s="15"/>
      <c r="M53" s="16"/>
      <c r="N53" s="17"/>
      <c r="O53" s="18"/>
      <c r="P53" s="18"/>
      <c r="Q53" s="18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5">
      <c r="A54" s="12"/>
      <c r="B54" s="13"/>
      <c r="C54" s="12"/>
      <c r="D54" s="12"/>
      <c r="E54" s="12"/>
      <c r="F54" s="12"/>
      <c r="G54" s="13"/>
      <c r="H54" s="12"/>
      <c r="I54" s="12"/>
      <c r="J54" s="12"/>
      <c r="K54" s="14"/>
      <c r="L54" s="15"/>
      <c r="M54" s="16"/>
      <c r="N54" s="17"/>
      <c r="O54" s="18"/>
      <c r="P54" s="18"/>
      <c r="Q54" s="18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5">
      <c r="A55" s="12"/>
      <c r="B55" s="13"/>
      <c r="C55" s="12"/>
      <c r="D55" s="12"/>
      <c r="E55" s="12"/>
      <c r="F55" s="12"/>
      <c r="G55" s="13"/>
      <c r="H55" s="12"/>
      <c r="I55" s="12"/>
      <c r="J55" s="12"/>
      <c r="K55" s="14"/>
      <c r="L55" s="15"/>
      <c r="M55" s="16"/>
      <c r="N55" s="17"/>
      <c r="O55" s="18"/>
      <c r="P55" s="18"/>
      <c r="Q55" s="18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5">
      <c r="A56" s="12"/>
      <c r="B56" s="13"/>
      <c r="C56" s="12"/>
      <c r="D56" s="12"/>
      <c r="E56" s="12"/>
      <c r="F56" s="12"/>
      <c r="G56" s="13"/>
      <c r="H56" s="12"/>
      <c r="I56" s="12"/>
      <c r="J56" s="12"/>
      <c r="K56" s="14"/>
      <c r="L56" s="15"/>
      <c r="M56" s="16"/>
      <c r="N56" s="17"/>
      <c r="O56" s="18"/>
      <c r="P56" s="18"/>
      <c r="Q56" s="18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5">
      <c r="A57" s="12"/>
      <c r="B57" s="13"/>
      <c r="C57" s="12"/>
      <c r="D57" s="12"/>
      <c r="E57" s="12"/>
      <c r="F57" s="12"/>
      <c r="G57" s="13"/>
      <c r="H57" s="12"/>
      <c r="I57" s="12"/>
      <c r="J57" s="12"/>
      <c r="K57" s="14"/>
      <c r="L57" s="15"/>
      <c r="M57" s="16"/>
      <c r="N57" s="17"/>
      <c r="O57" s="18"/>
      <c r="P57" s="18"/>
      <c r="Q57" s="18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5">
      <c r="A58" s="12"/>
      <c r="B58" s="13"/>
      <c r="C58" s="12"/>
      <c r="D58" s="12"/>
      <c r="E58" s="12"/>
      <c r="F58" s="12"/>
      <c r="G58" s="13"/>
      <c r="H58" s="12"/>
      <c r="I58" s="12"/>
      <c r="J58" s="12"/>
      <c r="K58" s="14"/>
      <c r="L58" s="15"/>
      <c r="M58" s="16"/>
      <c r="N58" s="17"/>
      <c r="O58" s="18"/>
      <c r="P58" s="18"/>
      <c r="Q58" s="18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5">
      <c r="A59" s="12"/>
      <c r="B59" s="13"/>
      <c r="C59" s="12"/>
      <c r="D59" s="12"/>
      <c r="E59" s="12"/>
      <c r="F59" s="12"/>
      <c r="G59" s="13"/>
      <c r="H59" s="12"/>
      <c r="I59" s="12"/>
      <c r="J59" s="12"/>
      <c r="K59" s="14"/>
      <c r="L59" s="15"/>
      <c r="M59" s="16"/>
      <c r="N59" s="17"/>
      <c r="O59" s="18"/>
      <c r="P59" s="18"/>
      <c r="Q59" s="18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5">
      <c r="A60" s="12"/>
      <c r="B60" s="13"/>
      <c r="C60" s="12"/>
      <c r="D60" s="12"/>
      <c r="E60" s="12"/>
      <c r="F60" s="12"/>
      <c r="G60" s="13"/>
      <c r="H60" s="12"/>
      <c r="I60" s="12"/>
      <c r="J60" s="12"/>
      <c r="K60" s="14"/>
      <c r="L60" s="15"/>
      <c r="M60" s="16"/>
      <c r="N60" s="17"/>
      <c r="O60" s="18"/>
      <c r="P60" s="18"/>
      <c r="Q60" s="18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5">
      <c r="A61" s="12"/>
      <c r="B61" s="13"/>
      <c r="C61" s="12"/>
      <c r="D61" s="12"/>
      <c r="E61" s="12"/>
      <c r="F61" s="12"/>
      <c r="G61" s="13"/>
      <c r="H61" s="12"/>
      <c r="I61" s="12"/>
      <c r="J61" s="12"/>
      <c r="K61" s="14"/>
      <c r="L61" s="15"/>
      <c r="M61" s="16"/>
      <c r="N61" s="17"/>
      <c r="O61" s="18"/>
      <c r="P61" s="18"/>
      <c r="Q61" s="18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5">
      <c r="A62" s="12"/>
      <c r="B62" s="13"/>
      <c r="C62" s="12"/>
      <c r="D62" s="12"/>
      <c r="E62" s="12"/>
      <c r="F62" s="12"/>
      <c r="G62" s="13"/>
      <c r="H62" s="12"/>
      <c r="I62" s="12"/>
      <c r="J62" s="12"/>
      <c r="K62" s="14"/>
      <c r="L62" s="15"/>
      <c r="M62" s="16"/>
      <c r="N62" s="17"/>
      <c r="O62" s="18"/>
      <c r="P62" s="18"/>
      <c r="Q62" s="18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5">
      <c r="A63" s="12"/>
      <c r="B63" s="13"/>
      <c r="C63" s="12"/>
      <c r="D63" s="12"/>
      <c r="E63" s="12"/>
      <c r="F63" s="12"/>
      <c r="G63" s="13"/>
      <c r="H63" s="12"/>
      <c r="I63" s="12"/>
      <c r="J63" s="12"/>
      <c r="K63" s="14"/>
      <c r="L63" s="15"/>
      <c r="M63" s="16"/>
      <c r="N63" s="17"/>
      <c r="O63" s="18"/>
      <c r="P63" s="18"/>
      <c r="Q63" s="18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5">
      <c r="A64" s="12"/>
      <c r="B64" s="13"/>
      <c r="C64" s="12"/>
      <c r="D64" s="12"/>
      <c r="E64" s="12"/>
      <c r="F64" s="12"/>
      <c r="G64" s="13"/>
      <c r="H64" s="12"/>
      <c r="I64" s="12"/>
      <c r="J64" s="12"/>
      <c r="K64" s="14"/>
      <c r="L64" s="15"/>
      <c r="M64" s="16"/>
      <c r="N64" s="17"/>
      <c r="O64" s="18"/>
      <c r="P64" s="18"/>
      <c r="Q64" s="18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5">
      <c r="A65" s="12"/>
      <c r="B65" s="13"/>
      <c r="C65" s="12"/>
      <c r="D65" s="12"/>
      <c r="E65" s="12"/>
      <c r="F65" s="12"/>
      <c r="G65" s="13"/>
      <c r="H65" s="12"/>
      <c r="I65" s="12"/>
      <c r="J65" s="12"/>
      <c r="K65" s="14"/>
      <c r="L65" s="15"/>
      <c r="M65" s="16"/>
      <c r="N65" s="17"/>
      <c r="O65" s="18"/>
      <c r="P65" s="18"/>
      <c r="Q65" s="18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5">
      <c r="A66" s="12"/>
      <c r="B66" s="13"/>
      <c r="C66" s="12"/>
      <c r="D66" s="12"/>
      <c r="E66" s="12"/>
      <c r="F66" s="12"/>
      <c r="G66" s="13"/>
      <c r="H66" s="12"/>
      <c r="I66" s="12"/>
      <c r="J66" s="12"/>
      <c r="K66" s="14"/>
      <c r="L66" s="15"/>
      <c r="M66" s="16"/>
      <c r="N66" s="17"/>
      <c r="O66" s="18"/>
      <c r="P66" s="18"/>
      <c r="Q66" s="18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5">
      <c r="A67" s="12"/>
      <c r="B67" s="13"/>
      <c r="C67" s="12"/>
      <c r="D67" s="12"/>
      <c r="E67" s="12"/>
      <c r="F67" s="12"/>
      <c r="G67" s="13"/>
      <c r="H67" s="12"/>
      <c r="I67" s="12"/>
      <c r="J67" s="12"/>
      <c r="K67" s="14"/>
      <c r="L67" s="15"/>
      <c r="M67" s="16"/>
      <c r="N67" s="17"/>
      <c r="O67" s="18"/>
      <c r="P67" s="18"/>
      <c r="Q67" s="18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5">
      <c r="A68" s="12"/>
      <c r="B68" s="13"/>
      <c r="C68" s="12"/>
      <c r="D68" s="12"/>
      <c r="E68" s="12"/>
      <c r="F68" s="12"/>
      <c r="G68" s="13"/>
      <c r="H68" s="12"/>
      <c r="I68" s="12"/>
      <c r="J68" s="12"/>
      <c r="K68" s="14"/>
      <c r="L68" s="15"/>
      <c r="M68" s="16"/>
      <c r="N68" s="17"/>
      <c r="O68" s="18"/>
      <c r="P68" s="18"/>
      <c r="Q68" s="18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5">
      <c r="A69" s="12"/>
      <c r="B69" s="13"/>
      <c r="C69" s="12"/>
      <c r="D69" s="12"/>
      <c r="E69" s="12"/>
      <c r="F69" s="12"/>
      <c r="G69" s="13"/>
      <c r="H69" s="12"/>
      <c r="I69" s="12"/>
      <c r="J69" s="12"/>
      <c r="K69" s="14"/>
      <c r="L69" s="15"/>
      <c r="M69" s="16"/>
      <c r="N69" s="17"/>
      <c r="O69" s="18"/>
      <c r="P69" s="18"/>
      <c r="Q69" s="18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5">
      <c r="A70" s="12"/>
      <c r="B70" s="13"/>
      <c r="C70" s="12"/>
      <c r="D70" s="12"/>
      <c r="E70" s="12"/>
      <c r="F70" s="12"/>
      <c r="G70" s="13"/>
      <c r="H70" s="12"/>
      <c r="I70" s="12"/>
      <c r="J70" s="12"/>
      <c r="K70" s="14"/>
      <c r="L70" s="15"/>
      <c r="M70" s="16"/>
      <c r="N70" s="17"/>
      <c r="O70" s="18"/>
      <c r="P70" s="18"/>
      <c r="Q70" s="18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5">
      <c r="A71" s="12"/>
      <c r="B71" s="13"/>
      <c r="C71" s="12"/>
      <c r="D71" s="12"/>
      <c r="E71" s="12"/>
      <c r="F71" s="12"/>
      <c r="G71" s="13"/>
      <c r="H71" s="12"/>
      <c r="I71" s="12"/>
      <c r="J71" s="12"/>
      <c r="K71" s="14"/>
      <c r="L71" s="15"/>
      <c r="M71" s="16"/>
      <c r="N71" s="17"/>
      <c r="O71" s="18"/>
      <c r="P71" s="18"/>
      <c r="Q71" s="18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5">
      <c r="A72" s="12"/>
      <c r="B72" s="13"/>
      <c r="C72" s="12"/>
      <c r="D72" s="12"/>
      <c r="E72" s="12"/>
      <c r="F72" s="12"/>
      <c r="G72" s="13"/>
      <c r="H72" s="12"/>
      <c r="I72" s="12"/>
      <c r="J72" s="12"/>
      <c r="K72" s="14"/>
      <c r="L72" s="15"/>
      <c r="M72" s="16"/>
      <c r="N72" s="17"/>
      <c r="O72" s="18"/>
      <c r="P72" s="18"/>
      <c r="Q72" s="18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5">
      <c r="A73" s="12"/>
      <c r="B73" s="13"/>
      <c r="C73" s="12"/>
      <c r="D73" s="12"/>
      <c r="E73" s="12"/>
      <c r="F73" s="12"/>
      <c r="G73" s="13"/>
      <c r="H73" s="12"/>
      <c r="I73" s="12"/>
      <c r="J73" s="12"/>
      <c r="K73" s="14"/>
      <c r="L73" s="15"/>
      <c r="M73" s="16"/>
      <c r="N73" s="17"/>
      <c r="O73" s="18"/>
      <c r="P73" s="18"/>
      <c r="Q73" s="18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5">
      <c r="A74" s="12"/>
      <c r="B74" s="13"/>
      <c r="C74" s="12"/>
      <c r="D74" s="12"/>
      <c r="E74" s="12"/>
      <c r="F74" s="12"/>
      <c r="G74" s="13"/>
      <c r="H74" s="12"/>
      <c r="I74" s="12"/>
      <c r="J74" s="12"/>
      <c r="K74" s="14"/>
      <c r="L74" s="15"/>
      <c r="M74" s="16"/>
      <c r="N74" s="17"/>
      <c r="O74" s="18"/>
      <c r="P74" s="18"/>
      <c r="Q74" s="18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5">
      <c r="A75" s="12"/>
      <c r="B75" s="13"/>
      <c r="C75" s="12"/>
      <c r="D75" s="12"/>
      <c r="E75" s="12"/>
      <c r="F75" s="12"/>
      <c r="G75" s="13"/>
      <c r="H75" s="12"/>
      <c r="I75" s="12"/>
      <c r="J75" s="12"/>
      <c r="K75" s="14"/>
      <c r="L75" s="15"/>
      <c r="M75" s="16"/>
      <c r="N75" s="17"/>
      <c r="O75" s="18"/>
      <c r="P75" s="18"/>
      <c r="Q75" s="18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5">
      <c r="A76" s="12"/>
      <c r="B76" s="13"/>
      <c r="C76" s="12"/>
      <c r="D76" s="12"/>
      <c r="E76" s="12"/>
      <c r="F76" s="12"/>
      <c r="G76" s="13"/>
      <c r="H76" s="12"/>
      <c r="I76" s="12"/>
      <c r="J76" s="12"/>
      <c r="K76" s="14"/>
      <c r="L76" s="15"/>
      <c r="M76" s="16"/>
      <c r="N76" s="17"/>
      <c r="O76" s="18"/>
      <c r="P76" s="18"/>
      <c r="Q76" s="18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5">
      <c r="A77" s="12"/>
      <c r="B77" s="13"/>
      <c r="C77" s="12"/>
      <c r="D77" s="12"/>
      <c r="E77" s="12"/>
      <c r="F77" s="12"/>
      <c r="G77" s="13"/>
      <c r="H77" s="12"/>
      <c r="I77" s="12"/>
      <c r="J77" s="12"/>
      <c r="K77" s="14"/>
      <c r="L77" s="15"/>
      <c r="M77" s="16"/>
      <c r="N77" s="17"/>
      <c r="O77" s="18"/>
      <c r="P77" s="18"/>
      <c r="Q77" s="18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5">
      <c r="A78" s="12"/>
      <c r="B78" s="13"/>
      <c r="C78" s="12"/>
      <c r="D78" s="12"/>
      <c r="E78" s="12"/>
      <c r="F78" s="12"/>
      <c r="G78" s="13"/>
      <c r="H78" s="12"/>
      <c r="I78" s="12"/>
      <c r="J78" s="12"/>
      <c r="K78" s="14"/>
      <c r="L78" s="15"/>
      <c r="M78" s="16"/>
      <c r="N78" s="17"/>
      <c r="O78" s="18"/>
      <c r="P78" s="18"/>
      <c r="Q78" s="18"/>
    </row>
    <row r="79" spans="1:26" ht="14.5">
      <c r="A79" s="12"/>
      <c r="B79" s="13"/>
      <c r="C79" s="12"/>
      <c r="D79" s="12"/>
      <c r="E79" s="12"/>
      <c r="F79" s="12"/>
      <c r="G79" s="13"/>
      <c r="H79" s="12"/>
      <c r="I79" s="12"/>
      <c r="J79" s="12"/>
      <c r="K79" s="14"/>
      <c r="L79" s="15"/>
      <c r="M79" s="16"/>
      <c r="N79" s="17"/>
      <c r="O79" s="18"/>
      <c r="P79" s="18"/>
      <c r="Q79" s="18"/>
    </row>
    <row r="80" spans="1:26" ht="14.5">
      <c r="A80" s="12"/>
      <c r="B80" s="13"/>
      <c r="C80" s="12"/>
      <c r="D80" s="12"/>
      <c r="E80" s="12"/>
      <c r="F80" s="12"/>
      <c r="G80" s="13"/>
      <c r="H80" s="12"/>
      <c r="I80" s="12"/>
      <c r="J80" s="12"/>
      <c r="K80" s="14"/>
      <c r="L80" s="15"/>
      <c r="M80" s="16"/>
      <c r="N80" s="17"/>
      <c r="O80" s="18"/>
      <c r="P80" s="18"/>
      <c r="Q80" s="18"/>
    </row>
    <row r="81" spans="1:17" ht="14.5">
      <c r="A81" s="12"/>
      <c r="B81" s="13"/>
      <c r="C81" s="12"/>
      <c r="D81" s="12"/>
      <c r="E81" s="12"/>
      <c r="F81" s="12"/>
      <c r="G81" s="13"/>
      <c r="H81" s="12"/>
      <c r="I81" s="12"/>
      <c r="J81" s="12"/>
      <c r="K81" s="14"/>
      <c r="L81" s="15"/>
      <c r="M81" s="16"/>
      <c r="N81" s="17"/>
      <c r="O81" s="18"/>
      <c r="P81" s="18"/>
      <c r="Q81" s="18"/>
    </row>
    <row r="82" spans="1:17" ht="14.5">
      <c r="A82" s="12"/>
      <c r="B82" s="13"/>
      <c r="C82" s="12"/>
      <c r="D82" s="12"/>
      <c r="E82" s="12"/>
      <c r="F82" s="12"/>
      <c r="G82" s="13"/>
      <c r="H82" s="12"/>
      <c r="I82" s="12"/>
      <c r="J82" s="12"/>
      <c r="K82" s="14"/>
      <c r="L82" s="15"/>
      <c r="M82" s="16"/>
      <c r="N82" s="17"/>
      <c r="O82" s="18"/>
      <c r="P82" s="18"/>
      <c r="Q82" s="18"/>
    </row>
    <row r="83" spans="1:17" ht="14.5">
      <c r="A83" s="12"/>
      <c r="B83" s="13"/>
      <c r="C83" s="12"/>
      <c r="D83" s="12"/>
      <c r="E83" s="12"/>
      <c r="F83" s="12"/>
      <c r="G83" s="13"/>
      <c r="H83" s="12"/>
      <c r="I83" s="12"/>
      <c r="J83" s="12"/>
      <c r="K83" s="14"/>
      <c r="L83" s="15"/>
      <c r="M83" s="16"/>
      <c r="N83" s="17"/>
      <c r="O83" s="18"/>
      <c r="P83" s="18"/>
      <c r="Q83" s="18"/>
    </row>
    <row r="84" spans="1:17" ht="14.5">
      <c r="A84" s="12"/>
      <c r="B84" s="13"/>
      <c r="C84" s="12"/>
      <c r="D84" s="12"/>
      <c r="E84" s="12"/>
      <c r="F84" s="12"/>
      <c r="G84" s="13"/>
      <c r="H84" s="12"/>
      <c r="I84" s="12"/>
      <c r="J84" s="12"/>
      <c r="K84" s="14"/>
      <c r="L84" s="15"/>
      <c r="M84" s="16"/>
      <c r="N84" s="17"/>
      <c r="O84" s="18"/>
      <c r="P84" s="18"/>
      <c r="Q84" s="18"/>
    </row>
    <row r="85" spans="1:17" ht="14.5">
      <c r="A85" s="12"/>
      <c r="B85" s="13"/>
      <c r="C85" s="12"/>
      <c r="D85" s="12"/>
      <c r="E85" s="12"/>
      <c r="F85" s="12"/>
      <c r="G85" s="13"/>
      <c r="H85" s="12"/>
      <c r="I85" s="12"/>
      <c r="J85" s="12"/>
      <c r="K85" s="14"/>
      <c r="L85" s="16"/>
      <c r="M85" s="16"/>
      <c r="N85" s="17"/>
      <c r="O85" s="18"/>
      <c r="P85" s="18"/>
      <c r="Q85" s="18"/>
    </row>
    <row r="86" spans="1:17" ht="14.5">
      <c r="A86" s="12"/>
      <c r="B86" s="13"/>
      <c r="C86" s="12"/>
      <c r="D86" s="12"/>
      <c r="E86" s="12"/>
      <c r="F86" s="12"/>
      <c r="G86" s="13"/>
      <c r="H86" s="12"/>
      <c r="I86" s="12"/>
      <c r="J86" s="12"/>
      <c r="K86" s="14"/>
      <c r="L86" s="16"/>
      <c r="M86" s="16"/>
      <c r="N86" s="17"/>
      <c r="O86" s="18"/>
      <c r="P86" s="18"/>
      <c r="Q86" s="18"/>
    </row>
    <row r="87" spans="1:17" ht="14.5">
      <c r="A87" s="12"/>
      <c r="B87" s="13"/>
      <c r="C87" s="12"/>
      <c r="D87" s="12"/>
      <c r="E87" s="12"/>
      <c r="F87" s="12"/>
      <c r="G87" s="13"/>
      <c r="H87" s="12"/>
      <c r="I87" s="12"/>
      <c r="J87" s="12"/>
      <c r="K87" s="14"/>
      <c r="L87" s="16"/>
      <c r="M87" s="16"/>
      <c r="N87" s="17"/>
      <c r="O87" s="18"/>
      <c r="P87" s="18"/>
      <c r="Q87" s="18"/>
    </row>
    <row r="88" spans="1:17" ht="14.5">
      <c r="A88" s="12"/>
      <c r="B88" s="13"/>
      <c r="C88" s="12"/>
      <c r="D88" s="12"/>
      <c r="E88" s="12"/>
      <c r="F88" s="12"/>
      <c r="G88" s="13"/>
      <c r="H88" s="12"/>
      <c r="I88" s="12"/>
      <c r="J88" s="12"/>
      <c r="K88" s="14"/>
      <c r="L88" s="16"/>
      <c r="M88" s="16"/>
      <c r="N88" s="17"/>
      <c r="O88" s="18"/>
      <c r="P88" s="18"/>
      <c r="Q88" s="18"/>
    </row>
    <row r="89" spans="1:17" ht="14.5">
      <c r="A89" s="12"/>
      <c r="B89" s="13"/>
      <c r="C89" s="12"/>
      <c r="D89" s="12"/>
      <c r="E89" s="12"/>
      <c r="F89" s="12"/>
      <c r="G89" s="13"/>
      <c r="H89" s="12"/>
      <c r="I89" s="12"/>
      <c r="J89" s="12"/>
      <c r="K89" s="14"/>
      <c r="L89" s="16"/>
      <c r="M89" s="16"/>
      <c r="N89" s="17"/>
      <c r="O89" s="18"/>
      <c r="P89" s="18"/>
      <c r="Q89" s="18"/>
    </row>
    <row r="90" spans="1:17" ht="14.5">
      <c r="A90" s="12"/>
      <c r="B90" s="13"/>
      <c r="C90" s="12"/>
      <c r="D90" s="12"/>
      <c r="E90" s="12"/>
      <c r="F90" s="12"/>
      <c r="G90" s="13"/>
      <c r="H90" s="12"/>
      <c r="I90" s="12"/>
      <c r="J90" s="12"/>
      <c r="K90" s="14"/>
      <c r="L90" s="16"/>
      <c r="M90" s="16"/>
      <c r="N90" s="17"/>
      <c r="O90" s="18"/>
      <c r="P90" s="18"/>
      <c r="Q90" s="18"/>
    </row>
    <row r="91" spans="1:17" ht="14.5">
      <c r="A91" s="12"/>
      <c r="B91" s="13"/>
      <c r="C91" s="12"/>
      <c r="D91" s="12"/>
      <c r="E91" s="12"/>
      <c r="F91" s="12"/>
      <c r="G91" s="13"/>
      <c r="H91" s="12"/>
      <c r="I91" s="12"/>
      <c r="J91" s="12"/>
      <c r="K91" s="14"/>
      <c r="L91" s="16"/>
      <c r="M91" s="16"/>
      <c r="N91" s="17"/>
      <c r="O91" s="18"/>
      <c r="P91" s="18"/>
      <c r="Q91" s="18"/>
    </row>
    <row r="92" spans="1:17" ht="14.5">
      <c r="A92" s="12"/>
      <c r="B92" s="13"/>
      <c r="C92" s="12"/>
      <c r="D92" s="12"/>
      <c r="E92" s="12"/>
      <c r="F92" s="12"/>
      <c r="G92" s="13"/>
      <c r="H92" s="12"/>
      <c r="I92" s="12"/>
      <c r="J92" s="12"/>
      <c r="K92" s="14"/>
      <c r="L92" s="16"/>
      <c r="M92" s="16"/>
      <c r="N92" s="17"/>
      <c r="O92" s="18"/>
      <c r="P92" s="18"/>
      <c r="Q92" s="18"/>
    </row>
    <row r="93" spans="1:17" ht="14.5">
      <c r="A93" s="12"/>
      <c r="B93" s="13"/>
      <c r="C93" s="12"/>
      <c r="D93" s="12"/>
      <c r="E93" s="12"/>
      <c r="F93" s="12"/>
      <c r="G93" s="13"/>
      <c r="H93" s="12"/>
      <c r="I93" s="12"/>
      <c r="J93" s="12"/>
      <c r="K93" s="14"/>
      <c r="L93" s="16"/>
      <c r="M93" s="16"/>
      <c r="N93" s="17"/>
      <c r="O93" s="18"/>
      <c r="P93" s="18"/>
      <c r="Q93" s="18"/>
    </row>
    <row r="94" spans="1:17" ht="14.5">
      <c r="A94" s="12"/>
      <c r="B94" s="13"/>
      <c r="C94" s="12"/>
      <c r="D94" s="12"/>
      <c r="E94" s="12"/>
      <c r="F94" s="12"/>
      <c r="G94" s="13"/>
      <c r="H94" s="12"/>
      <c r="I94" s="12"/>
      <c r="J94" s="12"/>
      <c r="K94" s="14"/>
      <c r="L94" s="16"/>
      <c r="M94" s="16"/>
      <c r="N94" s="17"/>
      <c r="O94" s="18"/>
      <c r="P94" s="18"/>
      <c r="Q94" s="18"/>
    </row>
    <row r="95" spans="1:17" ht="14.5">
      <c r="A95" s="12"/>
      <c r="B95" s="13"/>
      <c r="C95" s="12"/>
      <c r="D95" s="12"/>
      <c r="E95" s="12"/>
      <c r="F95" s="12"/>
      <c r="G95" s="13"/>
      <c r="H95" s="12"/>
      <c r="I95" s="12"/>
      <c r="J95" s="12"/>
      <c r="K95" s="14"/>
      <c r="L95" s="16"/>
      <c r="M95" s="16"/>
      <c r="N95" s="17"/>
      <c r="O95" s="18"/>
      <c r="P95" s="18"/>
      <c r="Q95" s="18"/>
    </row>
    <row r="96" spans="1:17" ht="14.5">
      <c r="A96" s="12"/>
      <c r="B96" s="13"/>
      <c r="C96" s="12"/>
      <c r="D96" s="12"/>
      <c r="E96" s="12"/>
      <c r="F96" s="12"/>
      <c r="G96" s="13"/>
      <c r="H96" s="12"/>
      <c r="I96" s="12"/>
      <c r="J96" s="12"/>
      <c r="K96" s="14"/>
      <c r="L96" s="16"/>
      <c r="M96" s="16"/>
      <c r="N96" s="17"/>
      <c r="O96" s="18"/>
      <c r="P96" s="18"/>
      <c r="Q96" s="18"/>
    </row>
    <row r="97" spans="1:28" ht="14.5">
      <c r="A97" s="12"/>
      <c r="B97" s="13"/>
      <c r="C97" s="12"/>
      <c r="D97" s="12"/>
      <c r="E97" s="12"/>
      <c r="F97" s="12"/>
      <c r="G97" s="13"/>
      <c r="H97" s="12"/>
      <c r="I97" s="12"/>
      <c r="J97" s="12"/>
      <c r="K97" s="14"/>
      <c r="L97" s="16"/>
      <c r="M97" s="16"/>
      <c r="N97" s="17"/>
      <c r="O97" s="18"/>
      <c r="P97" s="18"/>
      <c r="Q97" s="18"/>
    </row>
    <row r="98" spans="1:28" ht="14.5">
      <c r="A98" s="12"/>
      <c r="B98" s="13"/>
      <c r="C98" s="12"/>
      <c r="D98" s="12"/>
      <c r="E98" s="12"/>
      <c r="F98" s="12"/>
      <c r="G98" s="13"/>
      <c r="H98" s="12"/>
      <c r="I98" s="12"/>
      <c r="J98" s="12"/>
      <c r="K98" s="14"/>
      <c r="L98" s="16"/>
      <c r="M98" s="16"/>
      <c r="N98" s="17"/>
      <c r="O98" s="18"/>
      <c r="P98" s="18"/>
      <c r="Q98" s="18"/>
    </row>
    <row r="99" spans="1:28" ht="14.5">
      <c r="A99" s="12"/>
      <c r="B99" s="13"/>
      <c r="C99" s="12"/>
      <c r="D99" s="12"/>
      <c r="E99" s="12"/>
      <c r="F99" s="12"/>
      <c r="G99" s="13"/>
      <c r="H99" s="12"/>
      <c r="I99" s="12"/>
      <c r="J99" s="12"/>
      <c r="K99" s="14"/>
      <c r="L99" s="16"/>
      <c r="M99" s="16"/>
      <c r="N99" s="17"/>
      <c r="O99" s="18"/>
      <c r="P99" s="18"/>
      <c r="Q99" s="18"/>
    </row>
    <row r="100" spans="1:28" ht="14.5">
      <c r="A100" s="12"/>
      <c r="B100" s="13"/>
      <c r="C100" s="12"/>
      <c r="D100" s="12"/>
      <c r="E100" s="12"/>
      <c r="F100" s="12"/>
      <c r="G100" s="13"/>
      <c r="H100" s="12"/>
      <c r="I100" s="12"/>
      <c r="J100" s="12"/>
      <c r="K100" s="14"/>
      <c r="L100" s="16"/>
      <c r="M100" s="16"/>
      <c r="N100" s="17"/>
      <c r="O100" s="18"/>
      <c r="P100" s="18"/>
      <c r="Q100" s="18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4.5">
      <c r="A101" s="12"/>
      <c r="B101" s="13"/>
      <c r="C101" s="12"/>
      <c r="D101" s="12"/>
      <c r="E101" s="12"/>
      <c r="F101" s="12"/>
      <c r="G101" s="13"/>
      <c r="H101" s="12"/>
      <c r="I101" s="12"/>
      <c r="J101" s="12"/>
      <c r="K101" s="14"/>
      <c r="L101" s="16"/>
      <c r="M101" s="16"/>
      <c r="N101" s="17"/>
      <c r="O101" s="18"/>
      <c r="P101" s="18"/>
      <c r="Q101" s="18"/>
    </row>
    <row r="102" spans="1:28" s="10" customFormat="1" ht="14.5">
      <c r="A102" s="12"/>
      <c r="B102" s="13"/>
      <c r="C102" s="12"/>
      <c r="D102" s="12"/>
      <c r="E102" s="12"/>
      <c r="F102" s="12"/>
      <c r="G102" s="13"/>
      <c r="H102" s="12"/>
      <c r="I102" s="12"/>
      <c r="J102" s="12"/>
      <c r="K102" s="14"/>
      <c r="L102" s="16"/>
      <c r="M102" s="16"/>
      <c r="N102" s="17"/>
      <c r="O102" s="18"/>
      <c r="P102" s="18"/>
      <c r="Q102" s="18"/>
      <c r="R102"/>
      <c r="S102"/>
      <c r="T102"/>
      <c r="U102"/>
      <c r="V102"/>
      <c r="W102"/>
      <c r="X102"/>
      <c r="Y102"/>
      <c r="Z102"/>
      <c r="AA102"/>
      <c r="AB102"/>
    </row>
    <row r="103" spans="1:28" ht="14.5">
      <c r="A103" s="12"/>
      <c r="B103" s="13"/>
      <c r="C103" s="42"/>
      <c r="D103" s="12"/>
      <c r="E103" s="12"/>
      <c r="F103" s="43"/>
      <c r="G103" s="13"/>
      <c r="H103" s="12"/>
      <c r="I103" s="12"/>
      <c r="J103" s="12"/>
      <c r="K103" s="44"/>
      <c r="L103" s="16"/>
      <c r="M103" s="16"/>
      <c r="N103" s="17"/>
      <c r="O103" s="45"/>
      <c r="P103" s="45"/>
      <c r="Q103" s="45"/>
    </row>
    <row r="104" spans="1:28" ht="14.5">
      <c r="A104" s="12"/>
      <c r="B104" s="13"/>
      <c r="C104" s="42"/>
      <c r="D104" s="12"/>
      <c r="E104" s="12"/>
      <c r="F104" s="43"/>
      <c r="G104" s="13"/>
      <c r="H104" s="12"/>
      <c r="I104" s="12"/>
      <c r="J104" s="12"/>
      <c r="K104" s="44"/>
      <c r="L104" s="16"/>
      <c r="M104" s="16"/>
      <c r="N104" s="17"/>
      <c r="O104" s="45"/>
      <c r="P104" s="45"/>
      <c r="Q104" s="45"/>
    </row>
    <row r="105" spans="1:28" ht="14.5">
      <c r="A105" s="12"/>
      <c r="B105" s="13"/>
      <c r="C105" s="42"/>
      <c r="D105" s="12"/>
      <c r="E105" s="12"/>
      <c r="F105" s="43"/>
      <c r="G105" s="13"/>
      <c r="H105" s="12"/>
      <c r="I105" s="12"/>
      <c r="J105" s="12"/>
      <c r="K105" s="44"/>
      <c r="L105" s="16"/>
      <c r="M105" s="16"/>
      <c r="N105" s="17"/>
      <c r="O105" s="45"/>
      <c r="P105" s="45"/>
      <c r="Q105" s="45"/>
    </row>
    <row r="106" spans="1:28" ht="14.5">
      <c r="A106" s="12"/>
      <c r="B106" s="13"/>
      <c r="C106" s="42"/>
      <c r="D106" s="12"/>
      <c r="E106" s="12"/>
      <c r="F106" s="43"/>
      <c r="G106" s="13"/>
      <c r="H106" s="12"/>
      <c r="I106" s="12"/>
      <c r="J106" s="12"/>
      <c r="K106" s="44"/>
      <c r="L106" s="16"/>
      <c r="M106" s="16"/>
      <c r="N106" s="17"/>
      <c r="O106" s="45"/>
      <c r="P106" s="45"/>
      <c r="Q106" s="45"/>
    </row>
    <row r="107" spans="1:28" ht="14.5">
      <c r="A107" s="12"/>
      <c r="B107" s="13"/>
      <c r="C107" s="42"/>
      <c r="D107" s="12"/>
      <c r="E107" s="12"/>
      <c r="F107" s="43"/>
      <c r="G107" s="13"/>
      <c r="H107" s="12"/>
      <c r="I107" s="12"/>
      <c r="J107" s="12"/>
      <c r="K107" s="44"/>
      <c r="L107" s="16"/>
      <c r="M107" s="16"/>
      <c r="N107" s="17"/>
      <c r="O107" s="45"/>
      <c r="P107" s="45"/>
      <c r="Q107" s="45"/>
    </row>
    <row r="108" spans="1:28" ht="14.5">
      <c r="A108" s="12"/>
      <c r="B108" s="13"/>
      <c r="C108" s="42"/>
      <c r="D108" s="12"/>
      <c r="E108" s="12"/>
      <c r="F108" s="43"/>
      <c r="G108" s="13"/>
      <c r="H108" s="12"/>
      <c r="I108" s="12"/>
      <c r="J108" s="12"/>
      <c r="K108" s="44"/>
      <c r="L108" s="16"/>
      <c r="M108" s="16"/>
      <c r="N108" s="17"/>
      <c r="O108" s="45"/>
      <c r="P108" s="45"/>
      <c r="Q108" s="45"/>
    </row>
    <row r="109" spans="1:28" ht="14.5">
      <c r="A109" s="12"/>
      <c r="B109" s="13"/>
      <c r="C109" s="42"/>
      <c r="D109" s="12"/>
      <c r="E109" s="12"/>
      <c r="F109" s="43"/>
      <c r="G109" s="13"/>
      <c r="H109" s="12"/>
      <c r="I109" s="12"/>
      <c r="J109" s="12"/>
      <c r="K109" s="44"/>
      <c r="L109" s="16"/>
      <c r="M109" s="16"/>
      <c r="N109" s="17"/>
      <c r="O109" s="45"/>
      <c r="P109" s="45"/>
      <c r="Q109" s="45"/>
    </row>
    <row r="110" spans="1:28" ht="14.5">
      <c r="A110" s="46"/>
      <c r="B110" s="47"/>
      <c r="C110" s="48"/>
      <c r="D110" s="46"/>
      <c r="E110" s="46"/>
      <c r="F110" s="49"/>
      <c r="G110" s="47"/>
      <c r="H110" s="46"/>
      <c r="I110" s="46"/>
      <c r="J110" s="46"/>
      <c r="K110" s="50"/>
      <c r="L110" s="51"/>
      <c r="M110" s="51"/>
      <c r="N110" s="52"/>
      <c r="O110" s="53"/>
      <c r="P110" s="53"/>
      <c r="Q110" s="53"/>
    </row>
    <row r="111" spans="1:28" ht="14.5">
      <c r="A111" s="12"/>
      <c r="B111" s="13"/>
      <c r="C111" s="42"/>
      <c r="D111" s="12"/>
      <c r="E111" s="12"/>
      <c r="F111" s="43"/>
      <c r="G111" s="13"/>
      <c r="H111" s="12"/>
      <c r="I111" s="12"/>
      <c r="J111" s="12"/>
      <c r="K111" s="44"/>
      <c r="L111" s="54"/>
      <c r="M111" s="54"/>
      <c r="N111" s="55"/>
      <c r="O111" s="56"/>
      <c r="P111" s="56"/>
      <c r="Q111" s="56"/>
    </row>
    <row r="112" spans="1:28" ht="14.5">
      <c r="A112" s="12"/>
      <c r="B112" s="13"/>
      <c r="C112" s="42"/>
      <c r="D112" s="12"/>
      <c r="E112" s="12"/>
      <c r="F112" s="43"/>
      <c r="G112" s="13"/>
      <c r="H112" s="12"/>
      <c r="I112" s="12"/>
      <c r="J112" s="12"/>
      <c r="K112" s="44"/>
      <c r="L112" s="54"/>
      <c r="M112" s="54"/>
      <c r="N112" s="55"/>
      <c r="O112" s="56"/>
      <c r="P112" s="56"/>
      <c r="Q112" s="56"/>
    </row>
    <row r="113" spans="1:17" ht="14.5">
      <c r="A113" s="12"/>
      <c r="B113" s="13"/>
      <c r="C113" s="42"/>
      <c r="D113" s="12"/>
      <c r="E113" s="12"/>
      <c r="F113" s="43"/>
      <c r="G113" s="13"/>
      <c r="H113" s="12"/>
      <c r="I113" s="12"/>
      <c r="J113" s="12"/>
      <c r="K113" s="44"/>
      <c r="L113" s="54"/>
      <c r="M113" s="54"/>
      <c r="N113" s="55"/>
      <c r="O113" s="56"/>
      <c r="P113" s="56"/>
      <c r="Q113" s="56"/>
    </row>
    <row r="114" spans="1:17" ht="14.5">
      <c r="A114" s="12"/>
      <c r="B114" s="13"/>
      <c r="C114" s="42"/>
      <c r="D114" s="12"/>
      <c r="E114" s="12"/>
      <c r="F114" s="43"/>
      <c r="G114" s="13"/>
      <c r="H114" s="12"/>
      <c r="I114" s="12"/>
      <c r="J114" s="12"/>
      <c r="K114" s="44"/>
      <c r="L114" s="54"/>
      <c r="M114" s="54"/>
      <c r="N114" s="55"/>
      <c r="O114" s="56"/>
      <c r="P114" s="56"/>
      <c r="Q114" s="56"/>
    </row>
    <row r="115" spans="1:17" ht="14.5">
      <c r="A115" s="12"/>
      <c r="B115" s="13"/>
      <c r="C115" s="42"/>
      <c r="D115" s="12"/>
      <c r="E115" s="12"/>
      <c r="F115" s="43"/>
      <c r="G115" s="13"/>
      <c r="H115" s="12"/>
      <c r="I115" s="12"/>
      <c r="J115" s="12"/>
      <c r="K115" s="44"/>
      <c r="L115" s="54"/>
      <c r="M115" s="54"/>
      <c r="N115" s="55"/>
      <c r="O115" s="56"/>
      <c r="P115" s="56"/>
      <c r="Q115" s="56"/>
    </row>
    <row r="116" spans="1:17" ht="14.5">
      <c r="A116" s="12"/>
      <c r="B116" s="13"/>
      <c r="C116" s="42"/>
      <c r="D116" s="12"/>
      <c r="E116" s="12"/>
      <c r="F116" s="43"/>
      <c r="G116" s="13"/>
      <c r="H116" s="12"/>
      <c r="I116" s="12"/>
      <c r="J116" s="12"/>
      <c r="K116" s="44"/>
      <c r="L116" s="54"/>
      <c r="M116" s="54"/>
      <c r="N116" s="55"/>
      <c r="O116" s="56"/>
      <c r="P116" s="56"/>
      <c r="Q116" s="56"/>
    </row>
    <row r="117" spans="1:17" ht="14.5">
      <c r="A117" s="12"/>
      <c r="B117" s="13"/>
      <c r="C117" s="42"/>
      <c r="D117" s="12"/>
      <c r="E117" s="12"/>
      <c r="F117" s="43"/>
      <c r="G117" s="13"/>
      <c r="H117" s="12"/>
      <c r="I117" s="12"/>
      <c r="J117" s="12"/>
      <c r="K117" s="44"/>
      <c r="L117" s="54"/>
      <c r="M117" s="54"/>
      <c r="N117" s="55"/>
      <c r="O117" s="56"/>
      <c r="P117" s="56"/>
      <c r="Q117" s="56"/>
    </row>
    <row r="118" spans="1:17" ht="14.5">
      <c r="A118" s="12"/>
      <c r="B118" s="13"/>
      <c r="C118" s="42"/>
      <c r="D118" s="12"/>
      <c r="E118" s="12"/>
      <c r="F118" s="43"/>
      <c r="G118" s="13"/>
      <c r="H118" s="12"/>
      <c r="I118" s="12"/>
      <c r="J118" s="12"/>
      <c r="K118" s="44"/>
      <c r="L118" s="54"/>
      <c r="M118" s="54"/>
      <c r="N118" s="55"/>
      <c r="O118" s="56"/>
      <c r="P118" s="56"/>
      <c r="Q118" s="56"/>
    </row>
    <row r="119" spans="1:17" ht="14.5">
      <c r="A119" s="12"/>
      <c r="B119" s="13"/>
      <c r="C119" s="42"/>
      <c r="D119" s="12"/>
      <c r="E119" s="12"/>
      <c r="F119" s="43"/>
      <c r="G119" s="13"/>
      <c r="H119" s="12"/>
      <c r="I119" s="12"/>
      <c r="J119" s="12"/>
      <c r="K119" s="44"/>
      <c r="L119" s="54"/>
      <c r="M119" s="54"/>
      <c r="N119" s="55"/>
      <c r="O119" s="56"/>
      <c r="P119" s="56"/>
      <c r="Q119" s="56"/>
    </row>
  </sheetData>
  <mergeCells count="29">
    <mergeCell ref="R25:U26"/>
    <mergeCell ref="R27:R28"/>
    <mergeCell ref="S27:S28"/>
    <mergeCell ref="T27:T28"/>
    <mergeCell ref="U27:U28"/>
    <mergeCell ref="Z18:AA18"/>
    <mergeCell ref="Z19:AA19"/>
    <mergeCell ref="Z20:AA20"/>
    <mergeCell ref="Z21:AA21"/>
    <mergeCell ref="Z22:AA22"/>
    <mergeCell ref="R14:AB15"/>
    <mergeCell ref="R16:R17"/>
    <mergeCell ref="S16:S17"/>
    <mergeCell ref="T16:T17"/>
    <mergeCell ref="U16:U17"/>
    <mergeCell ref="V16:V17"/>
    <mergeCell ref="W16:W17"/>
    <mergeCell ref="X16:X17"/>
    <mergeCell ref="Y16:Y17"/>
    <mergeCell ref="Z16:AA17"/>
    <mergeCell ref="AB16:AB17"/>
    <mergeCell ref="A1:Q1"/>
    <mergeCell ref="R3:W3"/>
    <mergeCell ref="R4:R5"/>
    <mergeCell ref="S4:S5"/>
    <mergeCell ref="T4:T5"/>
    <mergeCell ref="U4:U5"/>
    <mergeCell ref="V4:V5"/>
    <mergeCell ref="W4:W5"/>
  </mergeCells>
  <conditionalFormatting sqref="A1:A1048576"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</conditionalFormatting>
  <conditionalFormatting sqref="K2:K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{5EE3D49A-8B12-406A-B3CE-6E727F26E02E}</x14:id>
        </ext>
      </extLst>
    </cfRule>
  </conditionalFormatting>
  <conditionalFormatting sqref="A2:A78">
    <cfRule type="duplicateValues" dxfId="8" priority="8"/>
  </conditionalFormatting>
  <conditionalFormatting sqref="A79:A119">
    <cfRule type="duplicateValues" dxfId="7" priority="9"/>
  </conditionalFormatting>
  <conditionalFormatting sqref="L3:L84">
    <cfRule type="colorScale" priority="10">
      <colorScale>
        <cfvo type="min"/>
        <cfvo type="max"/>
        <color rgb="FF63BE7B"/>
        <color rgb="FFFFEF9C"/>
      </colorScale>
    </cfRule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{3E2451EA-AE1C-4FBA-9708-BE42D06988DF}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E3D49A-8B12-406A-B3CE-6E727F26E0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K2:K1048576</xm:sqref>
        </x14:conditionalFormatting>
        <x14:conditionalFormatting xmlns:xm="http://schemas.microsoft.com/office/excel/2006/main">
          <x14:cfRule type="dataBar" id="{3E2451EA-AE1C-4FBA-9708-BE42D06988D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L3:L84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A3" sqref="A3"/>
    </sheetView>
  </sheetViews>
  <sheetFormatPr defaultRowHeight="14.5"/>
  <cols>
    <col min="1" max="1" width="5.7265625" bestFit="1" customWidth="1"/>
    <col min="2" max="2" width="8.1796875" bestFit="1" customWidth="1"/>
    <col min="3" max="3" width="15.7265625" bestFit="1" customWidth="1"/>
    <col min="4" max="4" width="11" bestFit="1" customWidth="1"/>
    <col min="5" max="5" width="12.7265625" bestFit="1" customWidth="1"/>
    <col min="6" max="6" width="15.1796875" bestFit="1" customWidth="1"/>
    <col min="7" max="7" width="6.26953125" bestFit="1" customWidth="1"/>
    <col min="8" max="8" width="8.1796875" bestFit="1" customWidth="1"/>
  </cols>
  <sheetData>
    <row r="1" spans="1:11" ht="23.2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62"/>
      <c r="J1" s="62"/>
      <c r="K1" s="62"/>
    </row>
    <row r="2" spans="1:11">
      <c r="A2" t="s">
        <v>42</v>
      </c>
      <c r="B2">
        <v>1073</v>
      </c>
      <c r="C2" t="s">
        <v>43</v>
      </c>
      <c r="D2" t="s">
        <v>18</v>
      </c>
      <c r="E2" t="s">
        <v>19</v>
      </c>
      <c r="F2" s="57">
        <v>45084</v>
      </c>
      <c r="G2" t="s">
        <v>44</v>
      </c>
      <c r="H2" t="s">
        <v>45</v>
      </c>
    </row>
    <row r="3" spans="1:11">
      <c r="A3" t="s">
        <v>46</v>
      </c>
      <c r="B3">
        <v>1074</v>
      </c>
      <c r="C3" t="s">
        <v>47</v>
      </c>
      <c r="D3" t="s">
        <v>27</v>
      </c>
      <c r="E3" t="s">
        <v>19</v>
      </c>
      <c r="F3" s="57">
        <v>44956</v>
      </c>
      <c r="G3" t="s">
        <v>48</v>
      </c>
      <c r="H3" t="s">
        <v>49</v>
      </c>
    </row>
    <row r="4" spans="1:11">
      <c r="A4" t="s">
        <v>50</v>
      </c>
      <c r="B4">
        <v>1078</v>
      </c>
      <c r="C4" t="s">
        <v>51</v>
      </c>
      <c r="D4" t="s">
        <v>21</v>
      </c>
      <c r="E4" t="s">
        <v>22</v>
      </c>
      <c r="F4" s="57">
        <v>45506</v>
      </c>
      <c r="G4" t="s">
        <v>52</v>
      </c>
      <c r="H4" t="s">
        <v>49</v>
      </c>
    </row>
    <row r="5" spans="1:11">
      <c r="A5" t="s">
        <v>53</v>
      </c>
      <c r="B5">
        <v>1126</v>
      </c>
      <c r="C5" t="s">
        <v>54</v>
      </c>
      <c r="D5" t="s">
        <v>21</v>
      </c>
      <c r="E5" t="s">
        <v>22</v>
      </c>
      <c r="F5" s="57">
        <v>45630</v>
      </c>
      <c r="G5" t="s">
        <v>52</v>
      </c>
      <c r="H5" t="s">
        <v>49</v>
      </c>
    </row>
    <row r="6" spans="1:11">
      <c r="F6" s="57"/>
    </row>
  </sheetData>
  <conditionalFormatting sqref="A1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A1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VIRTUAL PRODUCTIVITY</vt:lpstr>
      <vt:lpstr>ZERO PTPs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>LENOVO P40</cp:lastModifiedBy>
  <cp:revision/>
  <dcterms:created xsi:type="dcterms:W3CDTF">2025-11-19T13:38:45Z</dcterms:created>
  <dcterms:modified xsi:type="dcterms:W3CDTF">2025-11-27T07:29:45Z</dcterms:modified>
  <cp:category/>
  <cp:contentStatus/>
</cp:coreProperties>
</file>